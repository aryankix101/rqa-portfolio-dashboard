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ryankix101/Desktop/RQA/"/>
    </mc:Choice>
  </mc:AlternateContent>
  <xr:revisionPtr revIDLastSave="0" documentId="13_ncr:1_{DF9744FA-5DE9-AF4A-9662-E793BB4C3D6F}" xr6:coauthVersionLast="47" xr6:coauthVersionMax="47" xr10:uidLastSave="{00000000-0000-0000-0000-000000000000}"/>
  <bookViews>
    <workbookView xWindow="0" yWindow="500" windowWidth="23260" windowHeight="12460" xr2:uid="{00000000-000D-0000-FFFF-FFFF00000000}"/>
  </bookViews>
  <sheets>
    <sheet name="GA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60" i="1" l="1"/>
  <c r="AM60" i="1" s="1"/>
  <c r="AL59" i="1"/>
  <c r="AM59" i="1" s="1"/>
  <c r="C59" i="1"/>
  <c r="AL58" i="1"/>
  <c r="AM58" i="1" s="1"/>
  <c r="C58" i="1"/>
  <c r="AL57" i="1"/>
  <c r="AM57" i="1" s="1"/>
  <c r="C57" i="1"/>
  <c r="AL56" i="1"/>
  <c r="AM56" i="1" s="1"/>
  <c r="C56" i="1"/>
  <c r="AL55" i="1"/>
  <c r="AM55" i="1" s="1"/>
  <c r="C55" i="1"/>
  <c r="AL54" i="1"/>
  <c r="AM54" i="1" s="1"/>
  <c r="C54" i="1"/>
  <c r="AL53" i="1"/>
  <c r="AM53" i="1" s="1"/>
  <c r="C53" i="1"/>
  <c r="AL52" i="1"/>
  <c r="AM52" i="1" s="1"/>
  <c r="C52" i="1"/>
  <c r="AL51" i="1"/>
  <c r="AM51" i="1" s="1"/>
  <c r="C51" i="1"/>
  <c r="AL50" i="1"/>
  <c r="AM50" i="1" s="1"/>
  <c r="C50" i="1"/>
  <c r="AL49" i="1"/>
  <c r="AM49" i="1" s="1"/>
  <c r="C49" i="1"/>
  <c r="AL48" i="1"/>
  <c r="AM48" i="1" s="1"/>
  <c r="C48" i="1"/>
  <c r="AL47" i="1"/>
  <c r="AM47" i="1" s="1"/>
  <c r="C47" i="1"/>
  <c r="AL46" i="1"/>
  <c r="AM46" i="1" s="1"/>
  <c r="C46" i="1"/>
  <c r="AL45" i="1"/>
  <c r="AM45" i="1" s="1"/>
  <c r="C45" i="1"/>
  <c r="AL44" i="1"/>
  <c r="AM44" i="1" s="1"/>
  <c r="C44" i="1"/>
  <c r="AL43" i="1"/>
  <c r="AM43" i="1" s="1"/>
  <c r="C43" i="1"/>
  <c r="AL42" i="1"/>
  <c r="AM42" i="1" s="1"/>
  <c r="C42" i="1"/>
  <c r="AL41" i="1"/>
  <c r="AM41" i="1" s="1"/>
  <c r="C41" i="1"/>
  <c r="AL40" i="1"/>
  <c r="AM40" i="1" s="1"/>
  <c r="C40" i="1"/>
  <c r="AL39" i="1"/>
  <c r="AM39" i="1" s="1"/>
  <c r="C39" i="1"/>
  <c r="AL38" i="1"/>
  <c r="AM38" i="1" s="1"/>
  <c r="C38" i="1"/>
  <c r="AL37" i="1"/>
  <c r="AM37" i="1" s="1"/>
  <c r="C37" i="1"/>
  <c r="AL36" i="1"/>
  <c r="AM36" i="1" s="1"/>
  <c r="C36" i="1"/>
  <c r="AM35" i="1"/>
  <c r="AL35" i="1"/>
  <c r="C35" i="1"/>
  <c r="AL34" i="1"/>
  <c r="AM34" i="1" s="1"/>
  <c r="C34" i="1"/>
  <c r="AL33" i="1"/>
  <c r="AM33" i="1" s="1"/>
  <c r="C33" i="1"/>
  <c r="AL32" i="1"/>
  <c r="AM32" i="1" s="1"/>
  <c r="C32" i="1"/>
  <c r="AM31" i="1"/>
  <c r="AL31" i="1"/>
  <c r="C31" i="1"/>
  <c r="AL30" i="1"/>
  <c r="AM30" i="1" s="1"/>
  <c r="C30" i="1"/>
  <c r="AL29" i="1"/>
  <c r="AM29" i="1" s="1"/>
  <c r="C29" i="1"/>
  <c r="AM28" i="1"/>
  <c r="AL28" i="1"/>
  <c r="C28" i="1"/>
  <c r="AL27" i="1"/>
  <c r="AM27" i="1" s="1"/>
  <c r="C27" i="1"/>
  <c r="AL26" i="1"/>
  <c r="AM26" i="1" s="1"/>
  <c r="C26" i="1"/>
  <c r="AL25" i="1"/>
  <c r="AM25" i="1" s="1"/>
  <c r="C25" i="1"/>
  <c r="AL24" i="1"/>
  <c r="AM24" i="1" s="1"/>
  <c r="C24" i="1"/>
  <c r="AL23" i="1"/>
  <c r="AM23" i="1" s="1"/>
  <c r="C23" i="1"/>
  <c r="AL22" i="1"/>
  <c r="AM22" i="1" s="1"/>
  <c r="C22" i="1"/>
  <c r="AL21" i="1"/>
  <c r="AM21" i="1" s="1"/>
  <c r="C21" i="1"/>
  <c r="AL20" i="1"/>
  <c r="AM20" i="1" s="1"/>
  <c r="C20" i="1"/>
  <c r="AL19" i="1"/>
  <c r="AM19" i="1" s="1"/>
  <c r="C19" i="1"/>
  <c r="AL18" i="1"/>
  <c r="AM18" i="1" s="1"/>
  <c r="C18" i="1"/>
  <c r="AL17" i="1"/>
  <c r="AM17" i="1" s="1"/>
  <c r="C17" i="1"/>
  <c r="AL16" i="1"/>
  <c r="AM16" i="1" s="1"/>
  <c r="C16" i="1"/>
  <c r="AL15" i="1"/>
  <c r="AM15" i="1" s="1"/>
  <c r="C15" i="1"/>
  <c r="AL14" i="1"/>
  <c r="AM14" i="1" s="1"/>
  <c r="C14" i="1"/>
  <c r="AL13" i="1"/>
  <c r="AM13" i="1" s="1"/>
  <c r="C13" i="1"/>
  <c r="AL12" i="1"/>
  <c r="AM12" i="1" s="1"/>
  <c r="C12" i="1"/>
  <c r="AL11" i="1"/>
  <c r="AM11" i="1" s="1"/>
  <c r="C11" i="1"/>
  <c r="AL10" i="1"/>
  <c r="AM10" i="1" s="1"/>
  <c r="C10" i="1"/>
  <c r="AL9" i="1"/>
  <c r="AM9" i="1" s="1"/>
  <c r="C9" i="1"/>
  <c r="AL8" i="1"/>
  <c r="AM8" i="1" s="1"/>
  <c r="C8" i="1"/>
  <c r="AL7" i="1"/>
  <c r="AM7" i="1" s="1"/>
  <c r="C7" i="1"/>
  <c r="AL6" i="1"/>
  <c r="AM6" i="1" s="1"/>
  <c r="C6" i="1"/>
  <c r="AL5" i="1"/>
  <c r="AM5" i="1" s="1"/>
  <c r="C5" i="1"/>
  <c r="AL4" i="1"/>
  <c r="AM4" i="1" s="1"/>
  <c r="C4" i="1"/>
</calcChain>
</file>

<file path=xl/sharedStrings.xml><?xml version="1.0" encoding="utf-8"?>
<sst xmlns="http://schemas.openxmlformats.org/spreadsheetml/2006/main" count="61" uniqueCount="35">
  <si>
    <t xml:space="preserve">Return </t>
  </si>
  <si>
    <t xml:space="preserve">Fee </t>
  </si>
  <si>
    <t xml:space="preserve">Holding Summary </t>
  </si>
  <si>
    <t xml:space="preserve">Attribution </t>
  </si>
  <si>
    <t xml:space="preserve">Check </t>
  </si>
  <si>
    <t>Date</t>
  </si>
  <si>
    <t>GB Returns (Gross)</t>
  </si>
  <si>
    <t>GB Returns (Net)</t>
  </si>
  <si>
    <t>ACWI</t>
  </si>
  <si>
    <t>AGG</t>
  </si>
  <si>
    <t>SPY</t>
  </si>
  <si>
    <t>50/50</t>
  </si>
  <si>
    <t>60/40</t>
  </si>
  <si>
    <t>70/30</t>
  </si>
  <si>
    <t>PDBC</t>
  </si>
  <si>
    <t>VWO</t>
  </si>
  <si>
    <t>IEV</t>
  </si>
  <si>
    <t>BWX</t>
  </si>
  <si>
    <t>IAU</t>
  </si>
  <si>
    <t>VEA</t>
  </si>
  <si>
    <t>RWX</t>
  </si>
  <si>
    <t>EWJ</t>
  </si>
  <si>
    <t>BIV</t>
  </si>
  <si>
    <t>TIP</t>
  </si>
  <si>
    <t>BND</t>
  </si>
  <si>
    <t>SPTL</t>
  </si>
  <si>
    <t>VNQ</t>
  </si>
  <si>
    <t>Total Attr</t>
  </si>
  <si>
    <t>DBC</t>
  </si>
  <si>
    <t>SCHE</t>
  </si>
  <si>
    <t>GLD</t>
  </si>
  <si>
    <t>EFA</t>
  </si>
  <si>
    <t>IEF</t>
  </si>
  <si>
    <t>TLT</t>
  </si>
  <si>
    <t>IYR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</si>
</sst>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m/d/yy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4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theme="1"/>
      <name val="Garamond"/>
      <family val="2"/>
    </font>
    <font>
      <sz val="10"/>
      <color theme="1"/>
      <name val="Arial"/>
      <family val="2"/>
    </font>
    <font>
      <sz val="10"/>
      <name val="Verdana"/>
      <family val="2"/>
    </font>
    <font>
      <sz val="10"/>
      <color indexed="8"/>
      <name val="Arial"/>
      <family val="2"/>
    </font>
    <font>
      <u/>
      <sz val="11"/>
      <color theme="10"/>
      <name val="Calibri"/>
      <family val="2"/>
      <scheme val="minor"/>
    </font>
    <font>
      <u/>
      <sz val="10"/>
      <color theme="10"/>
      <name val="Arial"/>
      <family val="2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109">
    <xf numFmtId="0" fontId="0" fillId="0" borderId="0"/>
    <xf numFmtId="43" fontId="1" fillId="0" borderId="0"/>
    <xf numFmtId="9" fontId="1" fillId="0" borderId="0"/>
    <xf numFmtId="0" fontId="20" fillId="0" borderId="0"/>
    <xf numFmtId="0" fontId="21" fillId="7" borderId="0"/>
    <xf numFmtId="0" fontId="19" fillId="15" borderId="0"/>
    <xf numFmtId="0" fontId="19" fillId="19" borderId="0"/>
    <xf numFmtId="0" fontId="19" fillId="23" borderId="0"/>
    <xf numFmtId="0" fontId="19" fillId="27" borderId="0"/>
    <xf numFmtId="0" fontId="19" fillId="31" borderId="0"/>
    <xf numFmtId="0" fontId="19" fillId="35" borderId="0"/>
    <xf numFmtId="0" fontId="22" fillId="0" borderId="0"/>
    <xf numFmtId="0" fontId="23" fillId="0" borderId="0"/>
    <xf numFmtId="0" fontId="23" fillId="11" borderId="8"/>
    <xf numFmtId="9" fontId="23" fillId="0" borderId="0"/>
    <xf numFmtId="43" fontId="23" fillId="0" borderId="0"/>
    <xf numFmtId="0" fontId="1" fillId="13" borderId="0"/>
    <xf numFmtId="0" fontId="1" fillId="17" borderId="0"/>
    <xf numFmtId="0" fontId="1" fillId="21" borderId="0"/>
    <xf numFmtId="0" fontId="1" fillId="25" borderId="0"/>
    <xf numFmtId="0" fontId="1" fillId="29" borderId="0"/>
    <xf numFmtId="0" fontId="1" fillId="33" borderId="0"/>
    <xf numFmtId="0" fontId="1" fillId="14" borderId="0"/>
    <xf numFmtId="0" fontId="1" fillId="18" borderId="0"/>
    <xf numFmtId="0" fontId="1" fillId="22" borderId="0"/>
    <xf numFmtId="0" fontId="1" fillId="26" borderId="0"/>
    <xf numFmtId="0" fontId="1" fillId="30" borderId="0"/>
    <xf numFmtId="0" fontId="1" fillId="34" borderId="0"/>
    <xf numFmtId="0" fontId="19" fillId="15" borderId="0"/>
    <xf numFmtId="0" fontId="19" fillId="19" borderId="0"/>
    <xf numFmtId="0" fontId="19" fillId="23" borderId="0"/>
    <xf numFmtId="0" fontId="19" fillId="27" borderId="0"/>
    <xf numFmtId="0" fontId="19" fillId="31" borderId="0"/>
    <xf numFmtId="0" fontId="19" fillId="35" borderId="0"/>
    <xf numFmtId="0" fontId="19" fillId="12" borderId="0"/>
    <xf numFmtId="0" fontId="19" fillId="16" borderId="0"/>
    <xf numFmtId="0" fontId="19" fillId="20" borderId="0"/>
    <xf numFmtId="0" fontId="19" fillId="24" borderId="0"/>
    <xf numFmtId="0" fontId="19" fillId="28" borderId="0"/>
    <xf numFmtId="0" fontId="19" fillId="32" borderId="0"/>
    <xf numFmtId="0" fontId="10" fillId="6" borderId="0"/>
    <xf numFmtId="0" fontId="14" fillId="9" borderId="4"/>
    <xf numFmtId="0" fontId="16" fillId="10" borderId="7"/>
    <xf numFmtId="41" fontId="24" fillId="0" borderId="0"/>
    <xf numFmtId="43" fontId="1" fillId="0" borderId="0"/>
    <xf numFmtId="43" fontId="25" fillId="0" borderId="0"/>
    <xf numFmtId="43" fontId="1" fillId="0" borderId="0"/>
    <xf numFmtId="42" fontId="26" fillId="0" borderId="0"/>
    <xf numFmtId="43" fontId="24" fillId="0" borderId="0"/>
    <xf numFmtId="42" fontId="24" fillId="0" borderId="0"/>
    <xf numFmtId="44" fontId="25" fillId="0" borderId="0"/>
    <xf numFmtId="44" fontId="26" fillId="0" borderId="0"/>
    <xf numFmtId="44" fontId="24" fillId="0" borderId="0"/>
    <xf numFmtId="0" fontId="18" fillId="0" borderId="0"/>
    <xf numFmtId="0" fontId="9" fillId="5" borderId="0"/>
    <xf numFmtId="0" fontId="6" fillId="0" borderId="1"/>
    <xf numFmtId="0" fontId="7" fillId="0" borderId="2"/>
    <xf numFmtId="0" fontId="8" fillId="0" borderId="3"/>
    <xf numFmtId="0" fontId="8" fillId="0" borderId="0"/>
    <xf numFmtId="0" fontId="27" fillId="0" borderId="0"/>
    <xf numFmtId="0" fontId="28" fillId="0" borderId="0"/>
    <xf numFmtId="0" fontId="12" fillId="8" borderId="4"/>
    <xf numFmtId="0" fontId="15" fillId="0" borderId="6"/>
    <xf numFmtId="0" fontId="21" fillId="7" borderId="0"/>
    <xf numFmtId="0" fontId="1" fillId="0" borderId="0"/>
    <xf numFmtId="0" fontId="24" fillId="0" borderId="0"/>
    <xf numFmtId="0" fontId="25" fillId="0" borderId="0"/>
    <xf numFmtId="0" fontId="1" fillId="0" borderId="0"/>
    <xf numFmtId="0" fontId="23" fillId="0" borderId="0"/>
    <xf numFmtId="0" fontId="1" fillId="0" borderId="0"/>
    <xf numFmtId="0" fontId="1" fillId="0" borderId="0"/>
    <xf numFmtId="0" fontId="1" fillId="0" borderId="0"/>
    <xf numFmtId="0" fontId="2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6" fillId="0" borderId="0"/>
    <xf numFmtId="0" fontId="23" fillId="0" borderId="0"/>
    <xf numFmtId="0" fontId="1" fillId="11" borderId="8"/>
    <xf numFmtId="0" fontId="13" fillId="9" borderId="5"/>
    <xf numFmtId="9" fontId="25" fillId="0" borderId="0"/>
    <xf numFmtId="9" fontId="23" fillId="0" borderId="0"/>
    <xf numFmtId="9" fontId="23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26" fillId="0" borderId="0"/>
    <xf numFmtId="9" fontId="1" fillId="0" borderId="0"/>
    <xf numFmtId="9" fontId="24" fillId="0" borderId="0"/>
    <xf numFmtId="0" fontId="2" fillId="0" borderId="9"/>
    <xf numFmtId="0" fontId="17" fillId="0" borderId="0"/>
    <xf numFmtId="44" fontId="23" fillId="0" borderId="0"/>
    <xf numFmtId="0" fontId="5" fillId="0" borderId="0"/>
    <xf numFmtId="0" fontId="11" fillId="7" borderId="0"/>
    <xf numFmtId="0" fontId="1" fillId="15" borderId="0"/>
    <xf numFmtId="0" fontId="1" fillId="19" borderId="0"/>
    <xf numFmtId="0" fontId="1" fillId="23" borderId="0"/>
    <xf numFmtId="0" fontId="1" fillId="27" borderId="0"/>
    <xf numFmtId="0" fontId="1" fillId="31" borderId="0"/>
    <xf numFmtId="0" fontId="1" fillId="35" borderId="0"/>
  </cellStyleXfs>
  <cellXfs count="19">
    <xf numFmtId="0" fontId="0" fillId="0" borderId="0" xfId="0"/>
    <xf numFmtId="0" fontId="0" fillId="2" borderId="0" xfId="0" applyFill="1"/>
    <xf numFmtId="0" fontId="2" fillId="0" borderId="0" xfId="0" applyFont="1"/>
    <xf numFmtId="9" fontId="0" fillId="0" borderId="0" xfId="0" applyNumberFormat="1"/>
    <xf numFmtId="164" fontId="0" fillId="0" borderId="0" xfId="0" applyNumberFormat="1"/>
    <xf numFmtId="10" fontId="0" fillId="0" borderId="0" xfId="0" applyNumberFormat="1"/>
    <xf numFmtId="0" fontId="0" fillId="3" borderId="0" xfId="0" applyFill="1"/>
    <xf numFmtId="164" fontId="0" fillId="0" borderId="0" xfId="2" applyNumberFormat="1" applyFont="1"/>
    <xf numFmtId="0" fontId="0" fillId="4" borderId="0" xfId="0" applyFill="1"/>
    <xf numFmtId="10" fontId="4" fillId="0" borderId="0" xfId="0" applyNumberFormat="1" applyFont="1"/>
    <xf numFmtId="43" fontId="0" fillId="0" borderId="0" xfId="0" applyNumberFormat="1"/>
    <xf numFmtId="164" fontId="0" fillId="0" borderId="0" xfId="1" applyNumberFormat="1" applyFont="1"/>
    <xf numFmtId="9" fontId="0" fillId="0" borderId="0" xfId="2" applyFont="1"/>
    <xf numFmtId="0" fontId="29" fillId="38" borderId="0" xfId="0" applyFont="1" applyFill="1"/>
    <xf numFmtId="0" fontId="16" fillId="36" borderId="0" xfId="0" applyFont="1" applyFill="1"/>
    <xf numFmtId="164" fontId="3" fillId="37" borderId="0" xfId="2" applyNumberFormat="1" applyFont="1" applyFill="1"/>
    <xf numFmtId="14" fontId="0" fillId="0" borderId="0" xfId="0" applyNumberFormat="1"/>
    <xf numFmtId="0" fontId="30" fillId="36" borderId="0" xfId="0" applyFont="1" applyFill="1"/>
    <xf numFmtId="165" fontId="0" fillId="0" borderId="0" xfId="0" applyNumberFormat="1"/>
  </cellXfs>
  <cellStyles count="109">
    <cellStyle name="20% - Accent1 2" xfId="16" xr:uid="{00000000-0005-0000-0000-000010000000}"/>
    <cellStyle name="20% - Accent2 2" xfId="17" xr:uid="{00000000-0005-0000-0000-000011000000}"/>
    <cellStyle name="20% - Accent3 2" xfId="18" xr:uid="{00000000-0005-0000-0000-000012000000}"/>
    <cellStyle name="20% - Accent4 2" xfId="19" xr:uid="{00000000-0005-0000-0000-000013000000}"/>
    <cellStyle name="20% - Accent5 2" xfId="20" xr:uid="{00000000-0005-0000-0000-000014000000}"/>
    <cellStyle name="20% - Accent6 2" xfId="21" xr:uid="{00000000-0005-0000-0000-000015000000}"/>
    <cellStyle name="40% - Accent1 2" xfId="22" xr:uid="{00000000-0005-0000-0000-000016000000}"/>
    <cellStyle name="40% - Accent2 2" xfId="23" xr:uid="{00000000-0005-0000-0000-000017000000}"/>
    <cellStyle name="40% - Accent3 2" xfId="24" xr:uid="{00000000-0005-0000-0000-000018000000}"/>
    <cellStyle name="40% - Accent4 2" xfId="25" xr:uid="{00000000-0005-0000-0000-000019000000}"/>
    <cellStyle name="40% - Accent5 2" xfId="26" xr:uid="{00000000-0005-0000-0000-00001A000000}"/>
    <cellStyle name="40% - Accent6 2" xfId="27" xr:uid="{00000000-0005-0000-0000-00001B000000}"/>
    <cellStyle name="60% - Accent1 2" xfId="28" xr:uid="{00000000-0005-0000-0000-00001C000000}"/>
    <cellStyle name="60% - Accent1 3" xfId="103" xr:uid="{00000000-0005-0000-0000-000067000000}"/>
    <cellStyle name="60% - Accent1 4" xfId="5" xr:uid="{00000000-0005-0000-0000-000005000000}"/>
    <cellStyle name="60% - Accent2 2" xfId="29" xr:uid="{00000000-0005-0000-0000-00001D000000}"/>
    <cellStyle name="60% - Accent2 3" xfId="104" xr:uid="{00000000-0005-0000-0000-000068000000}"/>
    <cellStyle name="60% - Accent2 4" xfId="6" xr:uid="{00000000-0005-0000-0000-000006000000}"/>
    <cellStyle name="60% - Accent3 2" xfId="30" xr:uid="{00000000-0005-0000-0000-00001E000000}"/>
    <cellStyle name="60% - Accent3 3" xfId="105" xr:uid="{00000000-0005-0000-0000-000069000000}"/>
    <cellStyle name="60% - Accent3 4" xfId="7" xr:uid="{00000000-0005-0000-0000-000007000000}"/>
    <cellStyle name="60% - Accent4 2" xfId="31" xr:uid="{00000000-0005-0000-0000-00001F000000}"/>
    <cellStyle name="60% - Accent4 3" xfId="106" xr:uid="{00000000-0005-0000-0000-00006A000000}"/>
    <cellStyle name="60% - Accent4 4" xfId="8" xr:uid="{00000000-0005-0000-0000-000008000000}"/>
    <cellStyle name="60% - Accent5 2" xfId="32" xr:uid="{00000000-0005-0000-0000-000020000000}"/>
    <cellStyle name="60% - Accent5 3" xfId="107" xr:uid="{00000000-0005-0000-0000-00006B000000}"/>
    <cellStyle name="60% - Accent5 4" xfId="9" xr:uid="{00000000-0005-0000-0000-000009000000}"/>
    <cellStyle name="60% - Accent6 2" xfId="33" xr:uid="{00000000-0005-0000-0000-000021000000}"/>
    <cellStyle name="60% - Accent6 3" xfId="108" xr:uid="{00000000-0005-0000-0000-00006C000000}"/>
    <cellStyle name="60% - Accent6 4" xfId="10" xr:uid="{00000000-0005-0000-0000-00000A000000}"/>
    <cellStyle name="Accent1 2" xfId="34" xr:uid="{00000000-0005-0000-0000-000022000000}"/>
    <cellStyle name="Accent2 2" xfId="35" xr:uid="{00000000-0005-0000-0000-000023000000}"/>
    <cellStyle name="Accent3 2" xfId="36" xr:uid="{00000000-0005-0000-0000-000024000000}"/>
    <cellStyle name="Accent4 2" xfId="37" xr:uid="{00000000-0005-0000-0000-000025000000}"/>
    <cellStyle name="Accent5 2" xfId="38" xr:uid="{00000000-0005-0000-0000-000026000000}"/>
    <cellStyle name="Accent6 2" xfId="39" xr:uid="{00000000-0005-0000-0000-000027000000}"/>
    <cellStyle name="Bad 2" xfId="40" xr:uid="{00000000-0005-0000-0000-000028000000}"/>
    <cellStyle name="Calculation 2" xfId="41" xr:uid="{00000000-0005-0000-0000-000029000000}"/>
    <cellStyle name="Check Cell 2" xfId="42" xr:uid="{00000000-0005-0000-0000-00002A000000}"/>
    <cellStyle name="Comma" xfId="1" builtinId="3"/>
    <cellStyle name="Comma [0] 2" xfId="43" xr:uid="{00000000-0005-0000-0000-00002B000000}"/>
    <cellStyle name="Comma 2" xfId="15" xr:uid="{00000000-0005-0000-0000-00000F000000}"/>
    <cellStyle name="Comma 2 2" xfId="44" xr:uid="{00000000-0005-0000-0000-00002C000000}"/>
    <cellStyle name="Comma 3" xfId="45" xr:uid="{00000000-0005-0000-0000-00002D000000}"/>
    <cellStyle name="Comma 3 2" xfId="46" xr:uid="{00000000-0005-0000-0000-00002E000000}"/>
    <cellStyle name="Comma 4" xfId="47" xr:uid="{00000000-0005-0000-0000-00002F000000}"/>
    <cellStyle name="Comma 5" xfId="48" xr:uid="{00000000-0005-0000-0000-000030000000}"/>
    <cellStyle name="Currency [0] 2" xfId="49" xr:uid="{00000000-0005-0000-0000-000031000000}"/>
    <cellStyle name="Currency 2" xfId="50" xr:uid="{00000000-0005-0000-0000-000032000000}"/>
    <cellStyle name="Currency 3" xfId="51" xr:uid="{00000000-0005-0000-0000-000033000000}"/>
    <cellStyle name="Currency 4" xfId="52" xr:uid="{00000000-0005-0000-0000-000034000000}"/>
    <cellStyle name="Currency 5" xfId="100" xr:uid="{00000000-0005-0000-0000-000064000000}"/>
    <cellStyle name="Explanatory Text 2" xfId="53" xr:uid="{00000000-0005-0000-0000-000035000000}"/>
    <cellStyle name="Good 2" xfId="54" xr:uid="{00000000-0005-0000-0000-000036000000}"/>
    <cellStyle name="Heading 1 2" xfId="55" xr:uid="{00000000-0005-0000-0000-000037000000}"/>
    <cellStyle name="Heading 2 2" xfId="56" xr:uid="{00000000-0005-0000-0000-000038000000}"/>
    <cellStyle name="Heading 3 2" xfId="57" xr:uid="{00000000-0005-0000-0000-000039000000}"/>
    <cellStyle name="Heading 4 2" xfId="58" xr:uid="{00000000-0005-0000-0000-00003A000000}"/>
    <cellStyle name="Hyperlink 2" xfId="59" xr:uid="{00000000-0005-0000-0000-00003B000000}"/>
    <cellStyle name="Hyperlink 3" xfId="60" xr:uid="{00000000-0005-0000-0000-00003C000000}"/>
    <cellStyle name="Input 2" xfId="61" xr:uid="{00000000-0005-0000-0000-00003D000000}"/>
    <cellStyle name="Linked Cell 2" xfId="62" xr:uid="{00000000-0005-0000-0000-00003E000000}"/>
    <cellStyle name="Neutral 2" xfId="63" xr:uid="{00000000-0005-0000-0000-00003F000000}"/>
    <cellStyle name="Neutral 3" xfId="102" xr:uid="{00000000-0005-0000-0000-000066000000}"/>
    <cellStyle name="Neutral 4" xfId="4" xr:uid="{00000000-0005-0000-0000-000004000000}"/>
    <cellStyle name="Normal" xfId="0" builtinId="0"/>
    <cellStyle name="Normal 10" xfId="64" xr:uid="{00000000-0005-0000-0000-000040000000}"/>
    <cellStyle name="Normal 11" xfId="65" xr:uid="{00000000-0005-0000-0000-000041000000}"/>
    <cellStyle name="Normal 2" xfId="11" xr:uid="{00000000-0005-0000-0000-00000B000000}"/>
    <cellStyle name="Normal 2 2" xfId="66" xr:uid="{00000000-0005-0000-0000-000042000000}"/>
    <cellStyle name="Normal 2 3" xfId="67" xr:uid="{00000000-0005-0000-0000-000043000000}"/>
    <cellStyle name="Normal 2 4" xfId="68" xr:uid="{00000000-0005-0000-0000-000044000000}"/>
    <cellStyle name="Normal 3" xfId="12" xr:uid="{00000000-0005-0000-0000-00000C000000}"/>
    <cellStyle name="Normal 3 2" xfId="69" xr:uid="{00000000-0005-0000-0000-000045000000}"/>
    <cellStyle name="Normal 4" xfId="70" xr:uid="{00000000-0005-0000-0000-000046000000}"/>
    <cellStyle name="Normal 4 2" xfId="71" xr:uid="{00000000-0005-0000-0000-000047000000}"/>
    <cellStyle name="Normal 5" xfId="72" xr:uid="{00000000-0005-0000-0000-000048000000}"/>
    <cellStyle name="Normal 5 2" xfId="73" xr:uid="{00000000-0005-0000-0000-000049000000}"/>
    <cellStyle name="Normal 6" xfId="74" xr:uid="{00000000-0005-0000-0000-00004A000000}"/>
    <cellStyle name="Normal 6 2" xfId="75" xr:uid="{00000000-0005-0000-0000-00004B000000}"/>
    <cellStyle name="Normal 7" xfId="76" xr:uid="{00000000-0005-0000-0000-00004C000000}"/>
    <cellStyle name="Normal 7 2" xfId="77" xr:uid="{00000000-0005-0000-0000-00004D000000}"/>
    <cellStyle name="Normal 8" xfId="78" xr:uid="{00000000-0005-0000-0000-00004E000000}"/>
    <cellStyle name="Normal 9" xfId="79" xr:uid="{00000000-0005-0000-0000-00004F000000}"/>
    <cellStyle name="Note 2" xfId="13" xr:uid="{00000000-0005-0000-0000-00000D000000}"/>
    <cellStyle name="Note 3" xfId="80" xr:uid="{00000000-0005-0000-0000-000050000000}"/>
    <cellStyle name="Output 2" xfId="81" xr:uid="{00000000-0005-0000-0000-000051000000}"/>
    <cellStyle name="Percent" xfId="2" builtinId="5"/>
    <cellStyle name="Percent 2" xfId="14" xr:uid="{00000000-0005-0000-0000-00000E000000}"/>
    <cellStyle name="Percent 2 2" xfId="82" xr:uid="{00000000-0005-0000-0000-000052000000}"/>
    <cellStyle name="Percent 2 3" xfId="83" xr:uid="{00000000-0005-0000-0000-000053000000}"/>
    <cellStyle name="Percent 2 4" xfId="84" xr:uid="{00000000-0005-0000-0000-000054000000}"/>
    <cellStyle name="Percent 3" xfId="85" xr:uid="{00000000-0005-0000-0000-000055000000}"/>
    <cellStyle name="Percent 3 2" xfId="86" xr:uid="{00000000-0005-0000-0000-000056000000}"/>
    <cellStyle name="Percent 4" xfId="87" xr:uid="{00000000-0005-0000-0000-000057000000}"/>
    <cellStyle name="Percent 4 2" xfId="88" xr:uid="{00000000-0005-0000-0000-000058000000}"/>
    <cellStyle name="Percent 4 2 2" xfId="89" xr:uid="{00000000-0005-0000-0000-000059000000}"/>
    <cellStyle name="Percent 4 3" xfId="90" xr:uid="{00000000-0005-0000-0000-00005A000000}"/>
    <cellStyle name="Percent 5" xfId="91" xr:uid="{00000000-0005-0000-0000-00005B000000}"/>
    <cellStyle name="Percent 5 2" xfId="92" xr:uid="{00000000-0005-0000-0000-00005C000000}"/>
    <cellStyle name="Percent 6" xfId="93" xr:uid="{00000000-0005-0000-0000-00005D000000}"/>
    <cellStyle name="Percent 6 2" xfId="94" xr:uid="{00000000-0005-0000-0000-00005E000000}"/>
    <cellStyle name="Percent 7" xfId="95" xr:uid="{00000000-0005-0000-0000-00005F000000}"/>
    <cellStyle name="Percent 8" xfId="96" xr:uid="{00000000-0005-0000-0000-000060000000}"/>
    <cellStyle name="Percent 9" xfId="97" xr:uid="{00000000-0005-0000-0000-000061000000}"/>
    <cellStyle name="Title 2" xfId="101" xr:uid="{00000000-0005-0000-0000-000065000000}"/>
    <cellStyle name="Title 3" xfId="3" xr:uid="{00000000-0005-0000-0000-000003000000}"/>
    <cellStyle name="Total 2" xfId="98" xr:uid="{00000000-0005-0000-0000-000062000000}"/>
    <cellStyle name="Warning Text 2" xfId="99" xr:uid="{00000000-0005-0000-0000-00006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GAM!$J$2</c:f>
              <c:strCache>
                <c:ptCount val="1"/>
                <c:pt idx="0">
                  <c:v>PDBC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val>
            <c:numRef>
              <c:f>GAM!$J$4:$J$52</c:f>
              <c:numCache>
                <c:formatCode>0%</c:formatCode>
                <c:ptCount val="49"/>
                <c:pt idx="0">
                  <c:v>4.8493303911033001E-2</c:v>
                </c:pt>
                <c:pt idx="1">
                  <c:v>5.6788221819852998E-2</c:v>
                </c:pt>
                <c:pt idx="2">
                  <c:v>6.1816035962159399E-2</c:v>
                </c:pt>
                <c:pt idx="3">
                  <c:v>3.8989813992500497E-2</c:v>
                </c:pt>
                <c:pt idx="4">
                  <c:v>4.1078563454274297E-2</c:v>
                </c:pt>
                <c:pt idx="5">
                  <c:v>4.5644485119551798E-2</c:v>
                </c:pt>
                <c:pt idx="6">
                  <c:v>4.7841975761316699E-2</c:v>
                </c:pt>
                <c:pt idx="7">
                  <c:v>3.6539598589319502E-2</c:v>
                </c:pt>
                <c:pt idx="8">
                  <c:v>2.3898208738037399E-2</c:v>
                </c:pt>
                <c:pt idx="9">
                  <c:v>3.08916469340123E-2</c:v>
                </c:pt>
                <c:pt idx="10">
                  <c:v>3.8964386163835497E-2</c:v>
                </c:pt>
                <c:pt idx="11">
                  <c:v>4.0147634085160498E-2</c:v>
                </c:pt>
                <c:pt idx="12">
                  <c:v>3.10933168157718E-2</c:v>
                </c:pt>
                <c:pt idx="13">
                  <c:v>3.86053790630181E-2</c:v>
                </c:pt>
                <c:pt idx="14">
                  <c:v>6.49273520116391E-2</c:v>
                </c:pt>
                <c:pt idx="15">
                  <c:v>5.3198778303063701E-2</c:v>
                </c:pt>
                <c:pt idx="16">
                  <c:v>4.6680117125604798E-2</c:v>
                </c:pt>
                <c:pt idx="17">
                  <c:v>3.6985940141512103E-2</c:v>
                </c:pt>
                <c:pt idx="18">
                  <c:v>5.7873147816331801E-2</c:v>
                </c:pt>
                <c:pt idx="19">
                  <c:v>5.1165453619036898E-2</c:v>
                </c:pt>
                <c:pt idx="20">
                  <c:v>7.1900629015591105E-2</c:v>
                </c:pt>
                <c:pt idx="21">
                  <c:v>6.1047350546314903E-2</c:v>
                </c:pt>
                <c:pt idx="22">
                  <c:v>7.7022811086240595E-2</c:v>
                </c:pt>
                <c:pt idx="23">
                  <c:v>8.3356610770120895E-2</c:v>
                </c:pt>
                <c:pt idx="24">
                  <c:v>9.2555034017398299E-2</c:v>
                </c:pt>
                <c:pt idx="25">
                  <c:v>9.4700840236580097E-2</c:v>
                </c:pt>
                <c:pt idx="26">
                  <c:v>8.2549524253954301E-2</c:v>
                </c:pt>
                <c:pt idx="27">
                  <c:v>8.9967325987026406E-2</c:v>
                </c:pt>
                <c:pt idx="28">
                  <c:v>8.3697532945501807E-2</c:v>
                </c:pt>
                <c:pt idx="29">
                  <c:v>0.102300924155172</c:v>
                </c:pt>
                <c:pt idx="30">
                  <c:v>6.5759107461451499E-2</c:v>
                </c:pt>
                <c:pt idx="31">
                  <c:v>7.0426457384302393E-2</c:v>
                </c:pt>
                <c:pt idx="32">
                  <c:v>8.2604854654615797E-2</c:v>
                </c:pt>
                <c:pt idx="33">
                  <c:v>0.108265785356897</c:v>
                </c:pt>
                <c:pt idx="34">
                  <c:v>8.9324813350756593E-2</c:v>
                </c:pt>
                <c:pt idx="35">
                  <c:v>9.4261236832182294E-2</c:v>
                </c:pt>
                <c:pt idx="36">
                  <c:v>8.6721920546049505E-2</c:v>
                </c:pt>
                <c:pt idx="37">
                  <c:v>8.0987696244355895E-2</c:v>
                </c:pt>
                <c:pt idx="38">
                  <c:v>9.4027444651640701E-2</c:v>
                </c:pt>
                <c:pt idx="39">
                  <c:v>0.114116411512502</c:v>
                </c:pt>
                <c:pt idx="40">
                  <c:v>0.122948024683495</c:v>
                </c:pt>
                <c:pt idx="41">
                  <c:v>9.7653206303200998E-2</c:v>
                </c:pt>
                <c:pt idx="42">
                  <c:v>8.4640342219483397E-2</c:v>
                </c:pt>
                <c:pt idx="43">
                  <c:v>8.1017529585991593E-2</c:v>
                </c:pt>
                <c:pt idx="44">
                  <c:v>8.0425946704293302E-2</c:v>
                </c:pt>
                <c:pt idx="45">
                  <c:v>5.8647455571182103E-2</c:v>
                </c:pt>
                <c:pt idx="46">
                  <c:v>5.67E-2</c:v>
                </c:pt>
                <c:pt idx="47">
                  <c:v>5.1200000000000002E-2</c:v>
                </c:pt>
                <c:pt idx="48">
                  <c:v>8.6699999999999999E-2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F6-7E4D-8F73-0D60BF3D72D7}"/>
            </c:ext>
          </c:extLst>
        </c:ser>
        <c:ser>
          <c:idx val="1"/>
          <c:order val="1"/>
          <c:tx>
            <c:strRef>
              <c:f>GAM!$K$2</c:f>
              <c:strCache>
                <c:ptCount val="1"/>
                <c:pt idx="0">
                  <c:v>VWO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val>
            <c:numRef>
              <c:f>GAM!$K$4:$K$52</c:f>
              <c:numCache>
                <c:formatCode>0%</c:formatCode>
                <c:ptCount val="49"/>
                <c:pt idx="0">
                  <c:v>8.5850670972431008E-3</c:v>
                </c:pt>
                <c:pt idx="1">
                  <c:v>9.7236487016600006E-3</c:v>
                </c:pt>
                <c:pt idx="2">
                  <c:v>1.0169732547055299E-2</c:v>
                </c:pt>
                <c:pt idx="3">
                  <c:v>1.6814848898452601E-2</c:v>
                </c:pt>
                <c:pt idx="4">
                  <c:v>1.9301442118844599E-2</c:v>
                </c:pt>
                <c:pt idx="5">
                  <c:v>1.7429250241295598E-2</c:v>
                </c:pt>
                <c:pt idx="6">
                  <c:v>1.88706294933483E-2</c:v>
                </c:pt>
                <c:pt idx="7">
                  <c:v>1.4289600181775599E-2</c:v>
                </c:pt>
                <c:pt idx="8">
                  <c:v>1.8357276985432099E-2</c:v>
                </c:pt>
                <c:pt idx="9">
                  <c:v>2.1090968531539502E-2</c:v>
                </c:pt>
                <c:pt idx="10">
                  <c:v>2.4892257101788801E-2</c:v>
                </c:pt>
                <c:pt idx="11">
                  <c:v>2.7056492271358399E-2</c:v>
                </c:pt>
                <c:pt idx="12">
                  <c:v>2.2760005335830901E-2</c:v>
                </c:pt>
                <c:pt idx="13">
                  <c:v>1.91307192704613E-2</c:v>
                </c:pt>
                <c:pt idx="14">
                  <c:v>2.2021905248025501E-2</c:v>
                </c:pt>
                <c:pt idx="15">
                  <c:v>1.9414690314350402E-2</c:v>
                </c:pt>
                <c:pt idx="16">
                  <c:v>2.0938441529135099E-2</c:v>
                </c:pt>
                <c:pt idx="17">
                  <c:v>2.0157001027078899E-2</c:v>
                </c:pt>
                <c:pt idx="18">
                  <c:v>2.6683397854559698E-2</c:v>
                </c:pt>
                <c:pt idx="19">
                  <c:v>2.9745569929853499E-2</c:v>
                </c:pt>
                <c:pt idx="20">
                  <c:v>2.2720636851578001E-2</c:v>
                </c:pt>
                <c:pt idx="21">
                  <c:v>2.35403980986333E-2</c:v>
                </c:pt>
                <c:pt idx="22">
                  <c:v>2.1693339702378099E-2</c:v>
                </c:pt>
                <c:pt idx="23">
                  <c:v>7.3106397790504403E-3</c:v>
                </c:pt>
                <c:pt idx="24">
                  <c:v>7.0444523760551303E-3</c:v>
                </c:pt>
                <c:pt idx="25">
                  <c:v>7.6399635352567699E-3</c:v>
                </c:pt>
                <c:pt idx="26">
                  <c:v>2.14251780345944E-2</c:v>
                </c:pt>
                <c:pt idx="27">
                  <c:v>2.1279518868590801E-2</c:v>
                </c:pt>
                <c:pt idx="28">
                  <c:v>2.1079150520083599E-2</c:v>
                </c:pt>
                <c:pt idx="29">
                  <c:v>1.13643640275151E-2</c:v>
                </c:pt>
                <c:pt idx="30">
                  <c:v>1.6149366007824802E-2</c:v>
                </c:pt>
                <c:pt idx="31">
                  <c:v>1.5804238924279401E-2</c:v>
                </c:pt>
                <c:pt idx="32">
                  <c:v>1.6935891723562201E-2</c:v>
                </c:pt>
                <c:pt idx="33">
                  <c:v>1.7390191530557701E-2</c:v>
                </c:pt>
                <c:pt idx="34">
                  <c:v>3.2136428594351001E-2</c:v>
                </c:pt>
                <c:pt idx="35">
                  <c:v>2.1092541510025101E-2</c:v>
                </c:pt>
                <c:pt idx="36">
                  <c:v>2.2183320937799102E-2</c:v>
                </c:pt>
                <c:pt idx="37">
                  <c:v>3.1596630937530901E-2</c:v>
                </c:pt>
                <c:pt idx="38">
                  <c:v>3.1606413933864402E-2</c:v>
                </c:pt>
                <c:pt idx="39">
                  <c:v>2.69437953514601E-2</c:v>
                </c:pt>
                <c:pt idx="40">
                  <c:v>2.78497569822455E-2</c:v>
                </c:pt>
                <c:pt idx="41">
                  <c:v>3.2263249259060697E-2</c:v>
                </c:pt>
                <c:pt idx="42">
                  <c:v>3.2386969058933603E-2</c:v>
                </c:pt>
                <c:pt idx="43">
                  <c:v>2.02684282474162E-2</c:v>
                </c:pt>
                <c:pt idx="44">
                  <c:v>1.44440360628015E-2</c:v>
                </c:pt>
                <c:pt idx="45">
                  <c:v>1.5987390001579199E-2</c:v>
                </c:pt>
                <c:pt idx="46">
                  <c:v>1.5599999999999999E-2</c:v>
                </c:pt>
                <c:pt idx="47">
                  <c:v>2.0899999999999998E-2</c:v>
                </c:pt>
                <c:pt idx="48">
                  <c:v>2.2200000000000001E-2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F6-7E4D-8F73-0D60BF3D72D7}"/>
            </c:ext>
          </c:extLst>
        </c:ser>
        <c:ser>
          <c:idx val="2"/>
          <c:order val="2"/>
          <c:tx>
            <c:strRef>
              <c:f>GAM!$L$2</c:f>
              <c:strCache>
                <c:ptCount val="1"/>
                <c:pt idx="0">
                  <c:v>IEV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val>
            <c:numRef>
              <c:f>GAM!$L$4:$L$52</c:f>
              <c:numCache>
                <c:formatCode>0%</c:formatCode>
                <c:ptCount val="49"/>
                <c:pt idx="0">
                  <c:v>2.2953076861369701E-2</c:v>
                </c:pt>
                <c:pt idx="1">
                  <c:v>3.16173507390742E-2</c:v>
                </c:pt>
                <c:pt idx="2">
                  <c:v>4.4483921747927098E-2</c:v>
                </c:pt>
                <c:pt idx="3">
                  <c:v>7.2933924566641301E-2</c:v>
                </c:pt>
                <c:pt idx="4">
                  <c:v>7.4596609045618698E-2</c:v>
                </c:pt>
                <c:pt idx="5">
                  <c:v>6.1848051913999003E-2</c:v>
                </c:pt>
                <c:pt idx="6">
                  <c:v>5.6351794535603399E-2</c:v>
                </c:pt>
                <c:pt idx="7">
                  <c:v>5.0803742204006901E-2</c:v>
                </c:pt>
                <c:pt idx="8">
                  <c:v>6.06835417363168E-2</c:v>
                </c:pt>
                <c:pt idx="9">
                  <c:v>5.3911891569103698E-2</c:v>
                </c:pt>
                <c:pt idx="10">
                  <c:v>6.4747265372047794E-2</c:v>
                </c:pt>
                <c:pt idx="11">
                  <c:v>6.3492498143226495E-2</c:v>
                </c:pt>
                <c:pt idx="12">
                  <c:v>6.3969627495511397E-2</c:v>
                </c:pt>
                <c:pt idx="13">
                  <c:v>6.8556831978862906E-2</c:v>
                </c:pt>
                <c:pt idx="14">
                  <c:v>5.9783996586552299E-2</c:v>
                </c:pt>
                <c:pt idx="15">
                  <c:v>6.5063816839263502E-2</c:v>
                </c:pt>
                <c:pt idx="16">
                  <c:v>6.3466560750536805E-2</c:v>
                </c:pt>
                <c:pt idx="17">
                  <c:v>5.9838630831840697E-2</c:v>
                </c:pt>
                <c:pt idx="18">
                  <c:v>6.1836772466671103E-2</c:v>
                </c:pt>
                <c:pt idx="19">
                  <c:v>6.0717126434034402E-2</c:v>
                </c:pt>
                <c:pt idx="20">
                  <c:v>4.1013452129597901E-2</c:v>
                </c:pt>
                <c:pt idx="21">
                  <c:v>4.3093204268295097E-2</c:v>
                </c:pt>
                <c:pt idx="22">
                  <c:v>3.9067307335945302E-2</c:v>
                </c:pt>
                <c:pt idx="23">
                  <c:v>1.5131827236754099E-2</c:v>
                </c:pt>
                <c:pt idx="24">
                  <c:v>1.5464942327962999E-2</c:v>
                </c:pt>
                <c:pt idx="25">
                  <c:v>1.7465092550835101E-2</c:v>
                </c:pt>
                <c:pt idx="26">
                  <c:v>5.3995122728690698E-2</c:v>
                </c:pt>
                <c:pt idx="27">
                  <c:v>5.7379730691779499E-2</c:v>
                </c:pt>
                <c:pt idx="28">
                  <c:v>6.07932582535127E-2</c:v>
                </c:pt>
                <c:pt idx="29">
                  <c:v>3.4532917807826802E-2</c:v>
                </c:pt>
                <c:pt idx="30">
                  <c:v>5.3226054994931403E-2</c:v>
                </c:pt>
                <c:pt idx="31">
                  <c:v>4.9220071476156597E-2</c:v>
                </c:pt>
                <c:pt idx="32">
                  <c:v>4.6771662300162199E-2</c:v>
                </c:pt>
                <c:pt idx="33">
                  <c:v>4.6306049775983002E-2</c:v>
                </c:pt>
                <c:pt idx="34">
                  <c:v>8.2619067228166296E-2</c:v>
                </c:pt>
                <c:pt idx="35">
                  <c:v>5.37244616161872E-2</c:v>
                </c:pt>
                <c:pt idx="36">
                  <c:v>6.0670618741414099E-2</c:v>
                </c:pt>
                <c:pt idx="37">
                  <c:v>9.2044654149855396E-2</c:v>
                </c:pt>
                <c:pt idx="38">
                  <c:v>8.9393511776461598E-2</c:v>
                </c:pt>
                <c:pt idx="39">
                  <c:v>8.1538693880129201E-2</c:v>
                </c:pt>
                <c:pt idx="40">
                  <c:v>7.9459054388406503E-2</c:v>
                </c:pt>
                <c:pt idx="41">
                  <c:v>8.08466916658723E-2</c:v>
                </c:pt>
                <c:pt idx="42">
                  <c:v>8.2882963278632704E-2</c:v>
                </c:pt>
                <c:pt idx="43">
                  <c:v>5.3081188758003398E-2</c:v>
                </c:pt>
                <c:pt idx="44">
                  <c:v>4.5332858403234803E-2</c:v>
                </c:pt>
                <c:pt idx="45">
                  <c:v>5.9966599792462702E-2</c:v>
                </c:pt>
                <c:pt idx="46">
                  <c:v>6.2100000000000002E-2</c:v>
                </c:pt>
                <c:pt idx="47">
                  <c:v>6.8900000000000003E-2</c:v>
                </c:pt>
                <c:pt idx="48">
                  <c:v>6.0699999999999997E-2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FF6-7E4D-8F73-0D60BF3D72D7}"/>
            </c:ext>
          </c:extLst>
        </c:ser>
        <c:ser>
          <c:idx val="3"/>
          <c:order val="3"/>
          <c:tx>
            <c:strRef>
              <c:f>GAM!$M$2</c:f>
              <c:strCache>
                <c:ptCount val="1"/>
                <c:pt idx="0">
                  <c:v>BWX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val>
            <c:numRef>
              <c:f>GAM!$M$4:$M$52</c:f>
              <c:numCache>
                <c:formatCode>0%</c:formatCode>
                <c:ptCount val="49"/>
                <c:pt idx="0">
                  <c:v>6.0114733892910298E-2</c:v>
                </c:pt>
                <c:pt idx="1">
                  <c:v>6.3269117345712403E-2</c:v>
                </c:pt>
                <c:pt idx="2">
                  <c:v>7.6979052651345997E-2</c:v>
                </c:pt>
                <c:pt idx="3">
                  <c:v>3.4014426485380098E-2</c:v>
                </c:pt>
                <c:pt idx="4">
                  <c:v>3.1299476888425402E-2</c:v>
                </c:pt>
                <c:pt idx="5">
                  <c:v>3.4514716197424702E-2</c:v>
                </c:pt>
                <c:pt idx="6">
                  <c:v>3.8740655431949801E-2</c:v>
                </c:pt>
                <c:pt idx="7">
                  <c:v>4.1142896047567601E-2</c:v>
                </c:pt>
                <c:pt idx="8">
                  <c:v>2.86295230423632E-2</c:v>
                </c:pt>
                <c:pt idx="9">
                  <c:v>3.3000747987129798E-2</c:v>
                </c:pt>
                <c:pt idx="10">
                  <c:v>3.10690783938877E-2</c:v>
                </c:pt>
                <c:pt idx="11">
                  <c:v>3.3081044446769403E-2</c:v>
                </c:pt>
                <c:pt idx="12">
                  <c:v>3.2892440661568101E-2</c:v>
                </c:pt>
                <c:pt idx="13">
                  <c:v>3.3920990622111E-2</c:v>
                </c:pt>
                <c:pt idx="14">
                  <c:v>5.0310670619744001E-2</c:v>
                </c:pt>
                <c:pt idx="15">
                  <c:v>5.7760454144803797E-2</c:v>
                </c:pt>
                <c:pt idx="16">
                  <c:v>5.8164629472185397E-2</c:v>
                </c:pt>
                <c:pt idx="17">
                  <c:v>5.14801568276467E-2</c:v>
                </c:pt>
                <c:pt idx="18">
                  <c:v>3.5599147809213097E-2</c:v>
                </c:pt>
                <c:pt idx="19">
                  <c:v>3.5453094169798798E-2</c:v>
                </c:pt>
                <c:pt idx="20">
                  <c:v>7.6013049210138295E-2</c:v>
                </c:pt>
                <c:pt idx="21">
                  <c:v>7.1443515211106701E-2</c:v>
                </c:pt>
                <c:pt idx="22">
                  <c:v>6.4074310913452295E-2</c:v>
                </c:pt>
                <c:pt idx="23">
                  <c:v>8.8290231530493299E-2</c:v>
                </c:pt>
                <c:pt idx="24">
                  <c:v>8.5784227552066494E-2</c:v>
                </c:pt>
                <c:pt idx="25">
                  <c:v>8.5991622690669595E-2</c:v>
                </c:pt>
                <c:pt idx="26">
                  <c:v>5.8517734661662102E-2</c:v>
                </c:pt>
                <c:pt idx="27">
                  <c:v>5.6906938551287499E-2</c:v>
                </c:pt>
                <c:pt idx="28">
                  <c:v>5.67838928564516E-2</c:v>
                </c:pt>
                <c:pt idx="29">
                  <c:v>9.0312487303413097E-2</c:v>
                </c:pt>
                <c:pt idx="30">
                  <c:v>5.8402980981959E-2</c:v>
                </c:pt>
                <c:pt idx="31">
                  <c:v>5.7485367837945299E-2</c:v>
                </c:pt>
                <c:pt idx="32">
                  <c:v>6.1677957182493998E-2</c:v>
                </c:pt>
                <c:pt idx="33">
                  <c:v>6.2492848175653398E-2</c:v>
                </c:pt>
                <c:pt idx="34">
                  <c:v>3.8183199369007999E-2</c:v>
                </c:pt>
                <c:pt idx="35">
                  <c:v>7.3880682899913105E-2</c:v>
                </c:pt>
                <c:pt idx="36">
                  <c:v>6.8830498445231106E-2</c:v>
                </c:pt>
                <c:pt idx="37">
                  <c:v>2.7320807098485E-2</c:v>
                </c:pt>
                <c:pt idx="38">
                  <c:v>2.65026493057589E-2</c:v>
                </c:pt>
                <c:pt idx="39">
                  <c:v>3.4821805259077E-2</c:v>
                </c:pt>
                <c:pt idx="40">
                  <c:v>3.8302046896829402E-2</c:v>
                </c:pt>
                <c:pt idx="41">
                  <c:v>3.5378728151613401E-2</c:v>
                </c:pt>
                <c:pt idx="42">
                  <c:v>3.2860032473064599E-2</c:v>
                </c:pt>
                <c:pt idx="43">
                  <c:v>6.9938362513816896E-2</c:v>
                </c:pt>
                <c:pt idx="44">
                  <c:v>7.2937689945072104E-2</c:v>
                </c:pt>
                <c:pt idx="45">
                  <c:v>4.5655100948995497E-2</c:v>
                </c:pt>
                <c:pt idx="46">
                  <c:v>4.2000000000000003E-2</c:v>
                </c:pt>
                <c:pt idx="47">
                  <c:v>2.8299999999999999E-2</c:v>
                </c:pt>
                <c:pt idx="48">
                  <c:v>6.88E-2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FF6-7E4D-8F73-0D60BF3D72D7}"/>
            </c:ext>
          </c:extLst>
        </c:ser>
        <c:ser>
          <c:idx val="4"/>
          <c:order val="4"/>
          <c:tx>
            <c:strRef>
              <c:f>GAM!$N$2</c:f>
              <c:strCache>
                <c:ptCount val="1"/>
                <c:pt idx="0">
                  <c:v>IAU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val>
            <c:numRef>
              <c:f>GAM!$N$4:$N$52</c:f>
              <c:numCache>
                <c:formatCode>0%</c:formatCode>
                <c:ptCount val="49"/>
                <c:pt idx="0">
                  <c:v>8.1865238191965006E-2</c:v>
                </c:pt>
                <c:pt idx="1">
                  <c:v>7.9641063284022207E-2</c:v>
                </c:pt>
                <c:pt idx="2">
                  <c:v>9.2103195447755207E-2</c:v>
                </c:pt>
                <c:pt idx="3">
                  <c:v>7.2945218134420897E-2</c:v>
                </c:pt>
                <c:pt idx="4">
                  <c:v>6.9831714271567202E-2</c:v>
                </c:pt>
                <c:pt idx="5">
                  <c:v>7.8644653853228802E-2</c:v>
                </c:pt>
                <c:pt idx="6">
                  <c:v>5.9821383889377001E-2</c:v>
                </c:pt>
                <c:pt idx="7">
                  <c:v>7.1898553789608396E-2</c:v>
                </c:pt>
                <c:pt idx="8">
                  <c:v>5.4123486278801897E-2</c:v>
                </c:pt>
                <c:pt idx="9">
                  <c:v>6.7095244351665695E-2</c:v>
                </c:pt>
                <c:pt idx="10">
                  <c:v>6.7263316003229795E-2</c:v>
                </c:pt>
                <c:pt idx="11">
                  <c:v>8.7414911168242806E-2</c:v>
                </c:pt>
                <c:pt idx="12">
                  <c:v>9.8717499368687803E-2</c:v>
                </c:pt>
                <c:pt idx="13">
                  <c:v>9.6394668051352606E-2</c:v>
                </c:pt>
                <c:pt idx="14">
                  <c:v>0.117634126205649</c:v>
                </c:pt>
                <c:pt idx="15">
                  <c:v>0.113890231561874</c:v>
                </c:pt>
                <c:pt idx="16">
                  <c:v>0.13195704963792401</c:v>
                </c:pt>
                <c:pt idx="17">
                  <c:v>0.12833465051103499</c:v>
                </c:pt>
                <c:pt idx="18">
                  <c:v>0.149243624595254</c:v>
                </c:pt>
                <c:pt idx="19">
                  <c:v>0.13925530546391701</c:v>
                </c:pt>
                <c:pt idx="20">
                  <c:v>0.19317881112455801</c:v>
                </c:pt>
                <c:pt idx="21">
                  <c:v>0.194595658245901</c:v>
                </c:pt>
                <c:pt idx="22">
                  <c:v>0.19080866538355101</c:v>
                </c:pt>
                <c:pt idx="23">
                  <c:v>0.239980312247913</c:v>
                </c:pt>
                <c:pt idx="24">
                  <c:v>0.22414415174077801</c:v>
                </c:pt>
                <c:pt idx="25">
                  <c:v>0.23413866078544901</c:v>
                </c:pt>
                <c:pt idx="26">
                  <c:v>0.16967587933421799</c:v>
                </c:pt>
                <c:pt idx="27">
                  <c:v>0.147351836235869</c:v>
                </c:pt>
                <c:pt idx="28">
                  <c:v>0.13612198666080799</c:v>
                </c:pt>
                <c:pt idx="29">
                  <c:v>0.170425610058169</c:v>
                </c:pt>
                <c:pt idx="30">
                  <c:v>0.145193511298714</c:v>
                </c:pt>
                <c:pt idx="31">
                  <c:v>0.15909855109938301</c:v>
                </c:pt>
                <c:pt idx="32">
                  <c:v>0.18049459947070801</c:v>
                </c:pt>
                <c:pt idx="33">
                  <c:v>0.19294414173845001</c:v>
                </c:pt>
                <c:pt idx="34">
                  <c:v>0.12087663084932</c:v>
                </c:pt>
                <c:pt idx="35">
                  <c:v>0.18854925236570599</c:v>
                </c:pt>
                <c:pt idx="36">
                  <c:v>0.16440078314429399</c:v>
                </c:pt>
                <c:pt idx="37">
                  <c:v>0.111533374777123</c:v>
                </c:pt>
                <c:pt idx="38">
                  <c:v>9.1999397346127096E-2</c:v>
                </c:pt>
                <c:pt idx="39">
                  <c:v>9.6705064519634398E-2</c:v>
                </c:pt>
                <c:pt idx="40">
                  <c:v>8.9213160627938104E-2</c:v>
                </c:pt>
                <c:pt idx="41">
                  <c:v>8.2548069607128904E-2</c:v>
                </c:pt>
                <c:pt idx="42">
                  <c:v>7.2607063021934495E-2</c:v>
                </c:pt>
                <c:pt idx="43">
                  <c:v>9.8383262257003501E-2</c:v>
                </c:pt>
                <c:pt idx="44">
                  <c:v>0.10767208988855501</c:v>
                </c:pt>
                <c:pt idx="45">
                  <c:v>7.8007495997786294E-2</c:v>
                </c:pt>
                <c:pt idx="46">
                  <c:v>8.6900000000000005E-2</c:v>
                </c:pt>
                <c:pt idx="47">
                  <c:v>6.59E-2</c:v>
                </c:pt>
                <c:pt idx="48">
                  <c:v>0.16439999999999999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FF6-7E4D-8F73-0D60BF3D72D7}"/>
            </c:ext>
          </c:extLst>
        </c:ser>
        <c:ser>
          <c:idx val="5"/>
          <c:order val="5"/>
          <c:tx>
            <c:strRef>
              <c:f>GAM!$O$2</c:f>
              <c:strCache>
                <c:ptCount val="1"/>
                <c:pt idx="0">
                  <c:v>VEA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val>
            <c:numRef>
              <c:f>GAM!$O$4:$O$52</c:f>
              <c:numCache>
                <c:formatCode>0%</c:formatCode>
                <c:ptCount val="49"/>
                <c:pt idx="0">
                  <c:v>0.18959658534094101</c:v>
                </c:pt>
                <c:pt idx="1">
                  <c:v>0.172999644805717</c:v>
                </c:pt>
                <c:pt idx="2">
                  <c:v>0.151499471183764</c:v>
                </c:pt>
                <c:pt idx="3">
                  <c:v>0.20247363612910299</c:v>
                </c:pt>
                <c:pt idx="4">
                  <c:v>0.19581681439218601</c:v>
                </c:pt>
                <c:pt idx="5">
                  <c:v>0.19873585400171601</c:v>
                </c:pt>
                <c:pt idx="6">
                  <c:v>0.20641798088172</c:v>
                </c:pt>
                <c:pt idx="7">
                  <c:v>0.23879266860837101</c:v>
                </c:pt>
                <c:pt idx="8">
                  <c:v>0.23991394997536</c:v>
                </c:pt>
                <c:pt idx="9">
                  <c:v>0.24618020257373199</c:v>
                </c:pt>
                <c:pt idx="10">
                  <c:v>0.212155070157269</c:v>
                </c:pt>
                <c:pt idx="11">
                  <c:v>0.20616231643878399</c:v>
                </c:pt>
                <c:pt idx="12">
                  <c:v>0.21253717778293499</c:v>
                </c:pt>
                <c:pt idx="13">
                  <c:v>0.235923993796232</c:v>
                </c:pt>
                <c:pt idx="14">
                  <c:v>0.200655736197414</c:v>
                </c:pt>
                <c:pt idx="15">
                  <c:v>0.16891985675514001</c:v>
                </c:pt>
                <c:pt idx="16">
                  <c:v>0.15792845891581</c:v>
                </c:pt>
                <c:pt idx="17">
                  <c:v>0.176693571367422</c:v>
                </c:pt>
                <c:pt idx="18">
                  <c:v>0.14570461765481499</c:v>
                </c:pt>
                <c:pt idx="19">
                  <c:v>0.151035609348216</c:v>
                </c:pt>
                <c:pt idx="20">
                  <c:v>8.0944999067957699E-2</c:v>
                </c:pt>
                <c:pt idx="21">
                  <c:v>8.1273363033474794E-2</c:v>
                </c:pt>
                <c:pt idx="22">
                  <c:v>6.9417314245831294E-2</c:v>
                </c:pt>
                <c:pt idx="23">
                  <c:v>2.9755968112518599E-2</c:v>
                </c:pt>
                <c:pt idx="24">
                  <c:v>3.2161897357540603E-2</c:v>
                </c:pt>
                <c:pt idx="25">
                  <c:v>3.53748663398087E-2</c:v>
                </c:pt>
                <c:pt idx="26">
                  <c:v>8.31554322335704E-2</c:v>
                </c:pt>
                <c:pt idx="27">
                  <c:v>9.0714408740842897E-2</c:v>
                </c:pt>
                <c:pt idx="28">
                  <c:v>9.6635227195880399E-2</c:v>
                </c:pt>
                <c:pt idx="29">
                  <c:v>7.1811534057527895E-2</c:v>
                </c:pt>
                <c:pt idx="30">
                  <c:v>0.11727298597118101</c:v>
                </c:pt>
                <c:pt idx="31">
                  <c:v>0.10065611454411</c:v>
                </c:pt>
                <c:pt idx="32">
                  <c:v>9.54897467718126E-2</c:v>
                </c:pt>
                <c:pt idx="33">
                  <c:v>8.4962381045225896E-2</c:v>
                </c:pt>
                <c:pt idx="34">
                  <c:v>0.13154224597668801</c:v>
                </c:pt>
                <c:pt idx="35">
                  <c:v>7.7357555227521496E-2</c:v>
                </c:pt>
                <c:pt idx="36">
                  <c:v>8.07084332595501E-2</c:v>
                </c:pt>
                <c:pt idx="37">
                  <c:v>0.123865892454591</c:v>
                </c:pt>
                <c:pt idx="38">
                  <c:v>0.11855904255617999</c:v>
                </c:pt>
                <c:pt idx="39">
                  <c:v>0.117822881727235</c:v>
                </c:pt>
                <c:pt idx="40">
                  <c:v>0.140043328444831</c:v>
                </c:pt>
                <c:pt idx="41">
                  <c:v>0.14569491181428601</c:v>
                </c:pt>
                <c:pt idx="42">
                  <c:v>0.14863645203977999</c:v>
                </c:pt>
                <c:pt idx="43">
                  <c:v>9.1935977495892801E-2</c:v>
                </c:pt>
                <c:pt idx="44">
                  <c:v>0.11694069663176</c:v>
                </c:pt>
                <c:pt idx="45">
                  <c:v>0.17776366075157299</c:v>
                </c:pt>
                <c:pt idx="46">
                  <c:v>0.17199999999999999</c:v>
                </c:pt>
                <c:pt idx="47">
                  <c:v>0.18740000000000001</c:v>
                </c:pt>
                <c:pt idx="48">
                  <c:v>8.0699999999999994E-2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FF6-7E4D-8F73-0D60BF3D72D7}"/>
            </c:ext>
          </c:extLst>
        </c:ser>
        <c:ser>
          <c:idx val="6"/>
          <c:order val="6"/>
          <c:tx>
            <c:strRef>
              <c:f>GAM!$P$2</c:f>
              <c:strCache>
                <c:ptCount val="1"/>
                <c:pt idx="0">
                  <c:v>RWX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  <a:prstDash val="solid"/>
            </a:ln>
          </c:spPr>
          <c:invertIfNegative val="0"/>
          <c:val>
            <c:numRef>
              <c:f>GAM!$P$4:$P$52</c:f>
              <c:numCache>
                <c:formatCode>0%</c:formatCode>
                <c:ptCount val="49"/>
                <c:pt idx="0">
                  <c:v>8.9443714378358106E-3</c:v>
                </c:pt>
                <c:pt idx="1">
                  <c:v>1.1486225997737401E-2</c:v>
                </c:pt>
                <c:pt idx="2">
                  <c:v>1.62463890019784E-2</c:v>
                </c:pt>
                <c:pt idx="3">
                  <c:v>3.5972657657205101E-2</c:v>
                </c:pt>
                <c:pt idx="4">
                  <c:v>3.9215587286382601E-2</c:v>
                </c:pt>
                <c:pt idx="5">
                  <c:v>3.0740354432847401E-2</c:v>
                </c:pt>
                <c:pt idx="6">
                  <c:v>2.1358188811798601E-2</c:v>
                </c:pt>
                <c:pt idx="7">
                  <c:v>1.69755689782497E-2</c:v>
                </c:pt>
                <c:pt idx="8">
                  <c:v>1.62628868706838E-2</c:v>
                </c:pt>
                <c:pt idx="9">
                  <c:v>2.0060816987549801E-2</c:v>
                </c:pt>
                <c:pt idx="10">
                  <c:v>2.6473535140189099E-2</c:v>
                </c:pt>
                <c:pt idx="11">
                  <c:v>2.7195671084563101E-2</c:v>
                </c:pt>
                <c:pt idx="12">
                  <c:v>2.4589864589908202E-2</c:v>
                </c:pt>
                <c:pt idx="13">
                  <c:v>2.6304276810455801E-2</c:v>
                </c:pt>
                <c:pt idx="14">
                  <c:v>2.7504532634296201E-2</c:v>
                </c:pt>
                <c:pt idx="15">
                  <c:v>3.1830711161998697E-2</c:v>
                </c:pt>
                <c:pt idx="16">
                  <c:v>3.5259221372465399E-2</c:v>
                </c:pt>
                <c:pt idx="17">
                  <c:v>3.1674009905893398E-2</c:v>
                </c:pt>
                <c:pt idx="18">
                  <c:v>3.2634637115062801E-2</c:v>
                </c:pt>
                <c:pt idx="19">
                  <c:v>2.9523199791589402E-2</c:v>
                </c:pt>
                <c:pt idx="20">
                  <c:v>1.94945717157603E-2</c:v>
                </c:pt>
                <c:pt idx="21">
                  <c:v>1.6612059167551201E-2</c:v>
                </c:pt>
                <c:pt idx="22">
                  <c:v>1.6557074855364999E-2</c:v>
                </c:pt>
                <c:pt idx="23">
                  <c:v>6.12228000471037E-3</c:v>
                </c:pt>
                <c:pt idx="24">
                  <c:v>6.2432803774516901E-3</c:v>
                </c:pt>
                <c:pt idx="25">
                  <c:v>6.5918153998078604E-3</c:v>
                </c:pt>
                <c:pt idx="26">
                  <c:v>2.2023134325767999E-2</c:v>
                </c:pt>
                <c:pt idx="27">
                  <c:v>2.14272397398435E-2</c:v>
                </c:pt>
                <c:pt idx="28">
                  <c:v>2.2272754718360901E-2</c:v>
                </c:pt>
                <c:pt idx="29">
                  <c:v>1.18905565384887E-2</c:v>
                </c:pt>
                <c:pt idx="30">
                  <c:v>1.65995482608297E-2</c:v>
                </c:pt>
                <c:pt idx="31">
                  <c:v>1.6708589362272899E-2</c:v>
                </c:pt>
                <c:pt idx="32">
                  <c:v>1.77780607005056E-2</c:v>
                </c:pt>
                <c:pt idx="33">
                  <c:v>2.0160556072559201E-2</c:v>
                </c:pt>
                <c:pt idx="34">
                  <c:v>3.3777612246320803E-2</c:v>
                </c:pt>
                <c:pt idx="35">
                  <c:v>1.6958866873670399E-2</c:v>
                </c:pt>
                <c:pt idx="36">
                  <c:v>1.6366259355843502E-2</c:v>
                </c:pt>
                <c:pt idx="37">
                  <c:v>2.2155462703539901E-2</c:v>
                </c:pt>
                <c:pt idx="38">
                  <c:v>2.54772486583431E-2</c:v>
                </c:pt>
                <c:pt idx="39">
                  <c:v>2.6388515643046902E-2</c:v>
                </c:pt>
                <c:pt idx="40">
                  <c:v>2.20805024522381E-2</c:v>
                </c:pt>
                <c:pt idx="41">
                  <c:v>2.3405409504412899E-2</c:v>
                </c:pt>
                <c:pt idx="42">
                  <c:v>2.35839731615624E-2</c:v>
                </c:pt>
                <c:pt idx="43">
                  <c:v>1.7699257443244201E-2</c:v>
                </c:pt>
                <c:pt idx="44">
                  <c:v>1.67502296153632E-2</c:v>
                </c:pt>
                <c:pt idx="45">
                  <c:v>2.2246546784001901E-2</c:v>
                </c:pt>
                <c:pt idx="46">
                  <c:v>2.23E-2</c:v>
                </c:pt>
                <c:pt idx="47">
                  <c:v>2.7799999999999998E-2</c:v>
                </c:pt>
                <c:pt idx="48">
                  <c:v>1.6400000000000001E-2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FF6-7E4D-8F73-0D60BF3D72D7}"/>
            </c:ext>
          </c:extLst>
        </c:ser>
        <c:ser>
          <c:idx val="7"/>
          <c:order val="7"/>
          <c:tx>
            <c:strRef>
              <c:f>GAM!$Q$2</c:f>
              <c:strCache>
                <c:ptCount val="1"/>
                <c:pt idx="0">
                  <c:v>EWJ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  <a:prstDash val="solid"/>
            </a:ln>
          </c:spPr>
          <c:invertIfNegative val="0"/>
          <c:val>
            <c:numRef>
              <c:f>GAM!$Q$4:$Q$52</c:f>
              <c:numCache>
                <c:formatCode>0%</c:formatCode>
                <c:ptCount val="49"/>
                <c:pt idx="0">
                  <c:v>3.5614838941902503E-2</c:v>
                </c:pt>
                <c:pt idx="1">
                  <c:v>3.0412037574537299E-2</c:v>
                </c:pt>
                <c:pt idx="2">
                  <c:v>3.6915402358006701E-2</c:v>
                </c:pt>
                <c:pt idx="3">
                  <c:v>6.7897354231683096E-2</c:v>
                </c:pt>
                <c:pt idx="4">
                  <c:v>7.5794228625832502E-2</c:v>
                </c:pt>
                <c:pt idx="5">
                  <c:v>5.9029290522567099E-2</c:v>
                </c:pt>
                <c:pt idx="6">
                  <c:v>5.3203692675098599E-2</c:v>
                </c:pt>
                <c:pt idx="7">
                  <c:v>4.4746111064455897E-2</c:v>
                </c:pt>
                <c:pt idx="8">
                  <c:v>5.7585460029852098E-2</c:v>
                </c:pt>
                <c:pt idx="9">
                  <c:v>5.4809020564252402E-2</c:v>
                </c:pt>
                <c:pt idx="10">
                  <c:v>6.7133540619858004E-2</c:v>
                </c:pt>
                <c:pt idx="11">
                  <c:v>6.5275957782174293E-2</c:v>
                </c:pt>
                <c:pt idx="12">
                  <c:v>5.7899218529945701E-2</c:v>
                </c:pt>
                <c:pt idx="13">
                  <c:v>5.8155360075570803E-2</c:v>
                </c:pt>
                <c:pt idx="14">
                  <c:v>5.6841345063144602E-2</c:v>
                </c:pt>
                <c:pt idx="15">
                  <c:v>6.7081385362895901E-2</c:v>
                </c:pt>
                <c:pt idx="16">
                  <c:v>6.2225410281413901E-2</c:v>
                </c:pt>
                <c:pt idx="17">
                  <c:v>6.5801959356693196E-2</c:v>
                </c:pt>
                <c:pt idx="18">
                  <c:v>7.5447951935721305E-2</c:v>
                </c:pt>
                <c:pt idx="19">
                  <c:v>8.2199759993854704E-2</c:v>
                </c:pt>
                <c:pt idx="20">
                  <c:v>5.2624548215691701E-2</c:v>
                </c:pt>
                <c:pt idx="21">
                  <c:v>5.3916845000465501E-2</c:v>
                </c:pt>
                <c:pt idx="22">
                  <c:v>5.2085481905133103E-2</c:v>
                </c:pt>
                <c:pt idx="23">
                  <c:v>1.9753712667630399E-2</c:v>
                </c:pt>
                <c:pt idx="24">
                  <c:v>1.9051314328059701E-2</c:v>
                </c:pt>
                <c:pt idx="25">
                  <c:v>1.95339909905188E-2</c:v>
                </c:pt>
                <c:pt idx="26">
                  <c:v>6.0348085280696698E-2</c:v>
                </c:pt>
                <c:pt idx="27">
                  <c:v>6.3815951354451395E-2</c:v>
                </c:pt>
                <c:pt idx="28">
                  <c:v>6.6929491467652605E-2</c:v>
                </c:pt>
                <c:pt idx="29">
                  <c:v>4.1078518092432098E-2</c:v>
                </c:pt>
                <c:pt idx="30">
                  <c:v>4.9973954116605102E-2</c:v>
                </c:pt>
                <c:pt idx="31">
                  <c:v>5.2676447252808199E-2</c:v>
                </c:pt>
                <c:pt idx="32">
                  <c:v>4.3501005389755397E-2</c:v>
                </c:pt>
                <c:pt idx="33">
                  <c:v>5.0530338055884E-2</c:v>
                </c:pt>
                <c:pt idx="34">
                  <c:v>8.2522149296004293E-2</c:v>
                </c:pt>
                <c:pt idx="35">
                  <c:v>5.5949127489848101E-2</c:v>
                </c:pt>
                <c:pt idx="36">
                  <c:v>6.3419244686350698E-2</c:v>
                </c:pt>
                <c:pt idx="37">
                  <c:v>8.9968796966979903E-2</c:v>
                </c:pt>
                <c:pt idx="38">
                  <c:v>0.10613825862571</c:v>
                </c:pt>
                <c:pt idx="39">
                  <c:v>8.5742745216158003E-2</c:v>
                </c:pt>
                <c:pt idx="40">
                  <c:v>7.7883741151171706E-2</c:v>
                </c:pt>
                <c:pt idx="41">
                  <c:v>6.4141238328077194E-2</c:v>
                </c:pt>
                <c:pt idx="42">
                  <c:v>7.7009754030697306E-2</c:v>
                </c:pt>
                <c:pt idx="43">
                  <c:v>4.5674110503608402E-2</c:v>
                </c:pt>
                <c:pt idx="44">
                  <c:v>3.4205810660402299E-2</c:v>
                </c:pt>
                <c:pt idx="45">
                  <c:v>4.1395665655580102E-2</c:v>
                </c:pt>
                <c:pt idx="46">
                  <c:v>4.2799999999999998E-2</c:v>
                </c:pt>
                <c:pt idx="47">
                  <c:v>5.7599999999999998E-2</c:v>
                </c:pt>
                <c:pt idx="48">
                  <c:v>6.3399999999999998E-2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FF6-7E4D-8F73-0D60BF3D72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07418080"/>
        <c:axId val="1407420480"/>
      </c:barChart>
      <c:catAx>
        <c:axId val="140741808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7420480"/>
        <c:crosses val="autoZero"/>
        <c:auto val="1"/>
        <c:lblAlgn val="ctr"/>
        <c:lblOffset val="100"/>
        <c:noMultiLvlLbl val="0"/>
      </c:catAx>
      <c:valAx>
        <c:axId val="140742048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741808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r>
              <a:rPr lang="en-US"/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GAM!$X$2</c:f>
              <c:strCache>
                <c:ptCount val="1"/>
                <c:pt idx="0">
                  <c:v>PDBC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val>
            <c:numRef>
              <c:f>GAM!$X$4:$X$52</c:f>
              <c:numCache>
                <c:formatCode>0.0%</c:formatCode>
                <c:ptCount val="49"/>
                <c:pt idx="0">
                  <c:v>1.6000000000000001E-3</c:v>
                </c:pt>
                <c:pt idx="1">
                  <c:v>5.5999999999999999E-3</c:v>
                </c:pt>
                <c:pt idx="2">
                  <c:v>-4.0000000000000002E-4</c:v>
                </c:pt>
                <c:pt idx="3">
                  <c:v>3.3999999999999998E-3</c:v>
                </c:pt>
                <c:pt idx="4">
                  <c:v>1.5E-3</c:v>
                </c:pt>
                <c:pt idx="5">
                  <c:v>1.5E-3</c:v>
                </c:pt>
                <c:pt idx="6">
                  <c:v>5.9999999999999995E-4</c:v>
                </c:pt>
                <c:pt idx="7">
                  <c:v>-6.9999999999999999E-4</c:v>
                </c:pt>
                <c:pt idx="8">
                  <c:v>1.1999999999999999E-3</c:v>
                </c:pt>
                <c:pt idx="9">
                  <c:v>1.6999999999999999E-3</c:v>
                </c:pt>
                <c:pt idx="10">
                  <c:v>-3.3999999999999998E-3</c:v>
                </c:pt>
                <c:pt idx="11">
                  <c:v>2.7000000000000001E-3</c:v>
                </c:pt>
                <c:pt idx="12">
                  <c:v>2.5000000000000001E-3</c:v>
                </c:pt>
                <c:pt idx="13">
                  <c:v>2.5000000000000001E-3</c:v>
                </c:pt>
                <c:pt idx="14">
                  <c:v>4.7999999999999996E-3</c:v>
                </c:pt>
                <c:pt idx="15">
                  <c:v>3.0999999999999999E-3</c:v>
                </c:pt>
                <c:pt idx="16">
                  <c:v>2.3E-3</c:v>
                </c:pt>
                <c:pt idx="17">
                  <c:v>-2.8999999999999998E-3</c:v>
                </c:pt>
                <c:pt idx="18">
                  <c:v>-1.2999999999999999E-3</c:v>
                </c:pt>
                <c:pt idx="19">
                  <c:v>-8.9999999999999998E-4</c:v>
                </c:pt>
                <c:pt idx="20">
                  <c:v>-4.7999999999999996E-3</c:v>
                </c:pt>
                <c:pt idx="21">
                  <c:v>3.3E-3</c:v>
                </c:pt>
                <c:pt idx="22">
                  <c:v>1E-3</c:v>
                </c:pt>
                <c:pt idx="23">
                  <c:v>-2.2000000000000001E-3</c:v>
                </c:pt>
                <c:pt idx="24">
                  <c:v>1E-3</c:v>
                </c:pt>
                <c:pt idx="25">
                  <c:v>-4.1999999999999997E-3</c:v>
                </c:pt>
                <c:pt idx="26">
                  <c:v>2.0000000000000001E-4</c:v>
                </c:pt>
                <c:pt idx="27">
                  <c:v>-8.0000000000000004E-4</c:v>
                </c:pt>
                <c:pt idx="28">
                  <c:v>-5.4999999999999997E-3</c:v>
                </c:pt>
                <c:pt idx="29">
                  <c:v>2.5999999999999999E-3</c:v>
                </c:pt>
                <c:pt idx="30">
                  <c:v>5.7000000000000002E-3</c:v>
                </c:pt>
                <c:pt idx="31">
                  <c:v>-2.0000000000000001E-4</c:v>
                </c:pt>
                <c:pt idx="32">
                  <c:v>1.1000000000000001E-3</c:v>
                </c:pt>
                <c:pt idx="33">
                  <c:v>-1.8E-3</c:v>
                </c:pt>
                <c:pt idx="34">
                  <c:v>-2.0999999999999999E-3</c:v>
                </c:pt>
                <c:pt idx="35">
                  <c:v>-3.0999999999999999E-3</c:v>
                </c:pt>
                <c:pt idx="36">
                  <c:v>1.1999999999999999E-3</c:v>
                </c:pt>
                <c:pt idx="37">
                  <c:v>-1.2999999999999999E-3</c:v>
                </c:pt>
                <c:pt idx="38">
                  <c:v>4.1000000000000003E-3</c:v>
                </c:pt>
                <c:pt idx="39">
                  <c:v>1.6999999999999999E-3</c:v>
                </c:pt>
                <c:pt idx="40">
                  <c:v>-2.9999999999999997E-4</c:v>
                </c:pt>
                <c:pt idx="41">
                  <c:v>-5.0000000000000001E-4</c:v>
                </c:pt>
                <c:pt idx="42">
                  <c:v>-2.0999999999999999E-3</c:v>
                </c:pt>
                <c:pt idx="43">
                  <c:v>-1.6000000000000001E-3</c:v>
                </c:pt>
                <c:pt idx="44">
                  <c:v>5.9999999999999995E-4</c:v>
                </c:pt>
                <c:pt idx="45">
                  <c:v>1.1999999999999999E-3</c:v>
                </c:pt>
                <c:pt idx="46">
                  <c:v>-1.1000000000000001E-3</c:v>
                </c:pt>
                <c:pt idx="47">
                  <c:v>8.9999999999999998E-4</c:v>
                </c:pt>
                <c:pt idx="48">
                  <c:v>1.6999999999999999E-3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C2-524B-8171-ED3B2542ADFA}"/>
            </c:ext>
          </c:extLst>
        </c:ser>
        <c:ser>
          <c:idx val="1"/>
          <c:order val="1"/>
          <c:tx>
            <c:strRef>
              <c:f>GAM!$Y$2</c:f>
              <c:strCache>
                <c:ptCount val="1"/>
                <c:pt idx="0">
                  <c:v>VWO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val>
            <c:numRef>
              <c:f>GAM!$Y$4:$Y$52</c:f>
              <c:numCache>
                <c:formatCode>0.0%</c:formatCode>
                <c:ptCount val="49"/>
                <c:pt idx="0">
                  <c:v>2.9999999999999997E-4</c:v>
                </c:pt>
                <c:pt idx="1">
                  <c:v>1E-4</c:v>
                </c:pt>
                <c:pt idx="2">
                  <c:v>-1E-4</c:v>
                </c:pt>
                <c:pt idx="3">
                  <c:v>1E-4</c:v>
                </c:pt>
                <c:pt idx="4">
                  <c:v>2.9999999999999997E-4</c:v>
                </c:pt>
                <c:pt idx="5">
                  <c:v>2.0000000000000001E-4</c:v>
                </c:pt>
                <c:pt idx="6">
                  <c:v>-1.1999999999999999E-3</c:v>
                </c:pt>
                <c:pt idx="7">
                  <c:v>2.0000000000000001E-4</c:v>
                </c:pt>
                <c:pt idx="8">
                  <c:v>-8.0000000000000004E-4</c:v>
                </c:pt>
                <c:pt idx="9">
                  <c:v>2.0000000000000001E-4</c:v>
                </c:pt>
                <c:pt idx="10">
                  <c:v>-1E-3</c:v>
                </c:pt>
                <c:pt idx="11">
                  <c:v>4.0000000000000002E-4</c:v>
                </c:pt>
                <c:pt idx="12">
                  <c:v>0</c:v>
                </c:pt>
                <c:pt idx="13">
                  <c:v>-8.0000000000000004E-4</c:v>
                </c:pt>
                <c:pt idx="14">
                  <c:v>-6.9999999999999999E-4</c:v>
                </c:pt>
                <c:pt idx="15">
                  <c:v>-1.1000000000000001E-3</c:v>
                </c:pt>
                <c:pt idx="16">
                  <c:v>1E-4</c:v>
                </c:pt>
                <c:pt idx="17">
                  <c:v>-1.1000000000000001E-3</c:v>
                </c:pt>
                <c:pt idx="18">
                  <c:v>0</c:v>
                </c:pt>
                <c:pt idx="19">
                  <c:v>-4.0000000000000002E-4</c:v>
                </c:pt>
                <c:pt idx="20">
                  <c:v>-2.8E-3</c:v>
                </c:pt>
                <c:pt idx="21">
                  <c:v>-5.0000000000000001E-4</c:v>
                </c:pt>
                <c:pt idx="22">
                  <c:v>3.3E-3</c:v>
                </c:pt>
                <c:pt idx="23">
                  <c:v>-2.0000000000000001E-4</c:v>
                </c:pt>
                <c:pt idx="24">
                  <c:v>5.9999999999999995E-4</c:v>
                </c:pt>
                <c:pt idx="25">
                  <c:v>-5.9999999999999995E-4</c:v>
                </c:pt>
                <c:pt idx="26">
                  <c:v>4.0000000000000002E-4</c:v>
                </c:pt>
                <c:pt idx="27">
                  <c:v>-2.0000000000000001E-4</c:v>
                </c:pt>
                <c:pt idx="28">
                  <c:v>-5.0000000000000001E-4</c:v>
                </c:pt>
                <c:pt idx="29">
                  <c:v>6.9999999999999999E-4</c:v>
                </c:pt>
                <c:pt idx="30">
                  <c:v>8.9999999999999998E-4</c:v>
                </c:pt>
                <c:pt idx="31">
                  <c:v>-1.1000000000000001E-3</c:v>
                </c:pt>
                <c:pt idx="32">
                  <c:v>-5.0000000000000001E-4</c:v>
                </c:pt>
                <c:pt idx="33">
                  <c:v>-5.9999999999999995E-4</c:v>
                </c:pt>
                <c:pt idx="34">
                  <c:v>2.3E-3</c:v>
                </c:pt>
                <c:pt idx="35">
                  <c:v>8.0000000000000004E-4</c:v>
                </c:pt>
                <c:pt idx="36">
                  <c:v>-1E-3</c:v>
                </c:pt>
                <c:pt idx="37">
                  <c:v>1.1999999999999999E-3</c:v>
                </c:pt>
                <c:pt idx="38">
                  <c:v>8.9999999999999998E-4</c:v>
                </c:pt>
                <c:pt idx="39">
                  <c:v>0</c:v>
                </c:pt>
                <c:pt idx="40">
                  <c:v>5.9999999999999995E-4</c:v>
                </c:pt>
                <c:pt idx="41">
                  <c:v>8.0000000000000004E-4</c:v>
                </c:pt>
                <c:pt idx="42">
                  <c:v>2.9999999999999997E-4</c:v>
                </c:pt>
                <c:pt idx="43">
                  <c:v>0</c:v>
                </c:pt>
                <c:pt idx="44">
                  <c:v>6.9999999999999999E-4</c:v>
                </c:pt>
                <c:pt idx="45">
                  <c:v>-5.0000000000000001E-4</c:v>
                </c:pt>
                <c:pt idx="46">
                  <c:v>-4.0000000000000002E-4</c:v>
                </c:pt>
                <c:pt idx="47">
                  <c:v>-4.0000000000000002E-4</c:v>
                </c:pt>
                <c:pt idx="48">
                  <c:v>5.9999999999999995E-4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C2-524B-8171-ED3B2542ADFA}"/>
            </c:ext>
          </c:extLst>
        </c:ser>
        <c:ser>
          <c:idx val="2"/>
          <c:order val="2"/>
          <c:tx>
            <c:strRef>
              <c:f>GAM!$Z$2</c:f>
              <c:strCache>
                <c:ptCount val="1"/>
                <c:pt idx="0">
                  <c:v>IEV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val>
            <c:numRef>
              <c:f>GAM!$Z$4:$Z$52</c:f>
              <c:numCache>
                <c:formatCode>0.0%</c:formatCode>
                <c:ptCount val="49"/>
                <c:pt idx="0">
                  <c:v>-5.0000000000000001E-4</c:v>
                </c:pt>
                <c:pt idx="1">
                  <c:v>8.0000000000000004E-4</c:v>
                </c:pt>
                <c:pt idx="2">
                  <c:v>1.2999999999999999E-3</c:v>
                </c:pt>
                <c:pt idx="3">
                  <c:v>2.8E-3</c:v>
                </c:pt>
                <c:pt idx="4">
                  <c:v>3.3999999999999998E-3</c:v>
                </c:pt>
                <c:pt idx="5">
                  <c:v>-8.0000000000000004E-4</c:v>
                </c:pt>
                <c:pt idx="6">
                  <c:v>8.9999999999999998E-4</c:v>
                </c:pt>
                <c:pt idx="7">
                  <c:v>8.0000000000000004E-4</c:v>
                </c:pt>
                <c:pt idx="8">
                  <c:v>-3.2000000000000002E-3</c:v>
                </c:pt>
                <c:pt idx="9">
                  <c:v>2.8E-3</c:v>
                </c:pt>
                <c:pt idx="10">
                  <c:v>-3.0999999999999999E-3</c:v>
                </c:pt>
                <c:pt idx="11">
                  <c:v>3.5000000000000001E-3</c:v>
                </c:pt>
                <c:pt idx="12">
                  <c:v>-1.9E-3</c:v>
                </c:pt>
                <c:pt idx="13">
                  <c:v>-3.3999999999999998E-3</c:v>
                </c:pt>
                <c:pt idx="14">
                  <c:v>1E-4</c:v>
                </c:pt>
                <c:pt idx="15">
                  <c:v>-4.1000000000000003E-3</c:v>
                </c:pt>
                <c:pt idx="16">
                  <c:v>1.8E-3</c:v>
                </c:pt>
                <c:pt idx="17">
                  <c:v>-5.8999999999999999E-3</c:v>
                </c:pt>
                <c:pt idx="18">
                  <c:v>3.0000000000000001E-3</c:v>
                </c:pt>
                <c:pt idx="19">
                  <c:v>-4.4000000000000003E-3</c:v>
                </c:pt>
                <c:pt idx="20">
                  <c:v>-4.1000000000000003E-3</c:v>
                </c:pt>
                <c:pt idx="21">
                  <c:v>3.5999999999999999E-3</c:v>
                </c:pt>
                <c:pt idx="22">
                  <c:v>5.1999999999999998E-3</c:v>
                </c:pt>
                <c:pt idx="23">
                  <c:v>0</c:v>
                </c:pt>
                <c:pt idx="24">
                  <c:v>1.4E-3</c:v>
                </c:pt>
                <c:pt idx="25">
                  <c:v>-4.0000000000000002E-4</c:v>
                </c:pt>
                <c:pt idx="26">
                  <c:v>1.1999999999999999E-3</c:v>
                </c:pt>
                <c:pt idx="27">
                  <c:v>2.3999999999999998E-3</c:v>
                </c:pt>
                <c:pt idx="28">
                  <c:v>-3.2000000000000002E-3</c:v>
                </c:pt>
                <c:pt idx="29">
                  <c:v>1.8E-3</c:v>
                </c:pt>
                <c:pt idx="30">
                  <c:v>1.4E-3</c:v>
                </c:pt>
                <c:pt idx="31">
                  <c:v>-1.9E-3</c:v>
                </c:pt>
                <c:pt idx="32">
                  <c:v>-2E-3</c:v>
                </c:pt>
                <c:pt idx="33">
                  <c:v>-1.4E-3</c:v>
                </c:pt>
                <c:pt idx="34">
                  <c:v>7.4000000000000003E-3</c:v>
                </c:pt>
                <c:pt idx="35">
                  <c:v>3.0000000000000001E-3</c:v>
                </c:pt>
                <c:pt idx="36">
                  <c:v>-5.0000000000000001E-4</c:v>
                </c:pt>
                <c:pt idx="37">
                  <c:v>2E-3</c:v>
                </c:pt>
                <c:pt idx="38">
                  <c:v>3.3E-3</c:v>
                </c:pt>
                <c:pt idx="39">
                  <c:v>-1.9E-3</c:v>
                </c:pt>
                <c:pt idx="40">
                  <c:v>4.7000000000000002E-3</c:v>
                </c:pt>
                <c:pt idx="41">
                  <c:v>-2.3E-3</c:v>
                </c:pt>
                <c:pt idx="42">
                  <c:v>1.6999999999999999E-3</c:v>
                </c:pt>
                <c:pt idx="43">
                  <c:v>1.6000000000000001E-3</c:v>
                </c:pt>
                <c:pt idx="44">
                  <c:v>-1E-4</c:v>
                </c:pt>
                <c:pt idx="45">
                  <c:v>-3.3E-3</c:v>
                </c:pt>
                <c:pt idx="46">
                  <c:v>-1.1000000000000001E-3</c:v>
                </c:pt>
                <c:pt idx="47">
                  <c:v>-2E-3</c:v>
                </c:pt>
                <c:pt idx="48">
                  <c:v>5.1999999999999998E-3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CC2-524B-8171-ED3B2542ADFA}"/>
            </c:ext>
          </c:extLst>
        </c:ser>
        <c:ser>
          <c:idx val="3"/>
          <c:order val="3"/>
          <c:tx>
            <c:strRef>
              <c:f>GAM!$AA$2</c:f>
              <c:strCache>
                <c:ptCount val="1"/>
                <c:pt idx="0">
                  <c:v>BWX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val>
            <c:numRef>
              <c:f>GAM!$AA$4:$AA$52</c:f>
              <c:numCache>
                <c:formatCode>0.0%</c:formatCode>
                <c:ptCount val="49"/>
                <c:pt idx="0">
                  <c:v>-5.9999999999999995E-4</c:v>
                </c:pt>
                <c:pt idx="1">
                  <c:v>-1.6999999999999999E-3</c:v>
                </c:pt>
                <c:pt idx="2">
                  <c:v>-2.2000000000000001E-3</c:v>
                </c:pt>
                <c:pt idx="3">
                  <c:v>8.0000000000000004E-4</c:v>
                </c:pt>
                <c:pt idx="4">
                  <c:v>2.9999999999999997E-4</c:v>
                </c:pt>
                <c:pt idx="5">
                  <c:v>-5.9999999999999995E-4</c:v>
                </c:pt>
                <c:pt idx="6">
                  <c:v>5.0000000000000001E-4</c:v>
                </c:pt>
                <c:pt idx="7">
                  <c:v>-4.0000000000000002E-4</c:v>
                </c:pt>
                <c:pt idx="8">
                  <c:v>-5.9999999999999995E-4</c:v>
                </c:pt>
                <c:pt idx="9">
                  <c:v>-2.0000000000000001E-4</c:v>
                </c:pt>
                <c:pt idx="10">
                  <c:v>-2.0000000000000001E-4</c:v>
                </c:pt>
                <c:pt idx="11">
                  <c:v>-1E-4</c:v>
                </c:pt>
                <c:pt idx="12">
                  <c:v>-8.9999999999999998E-4</c:v>
                </c:pt>
                <c:pt idx="13">
                  <c:v>-4.0000000000000002E-4</c:v>
                </c:pt>
                <c:pt idx="14">
                  <c:v>-2.0999999999999999E-3</c:v>
                </c:pt>
                <c:pt idx="15">
                  <c:v>-4.1000000000000003E-3</c:v>
                </c:pt>
                <c:pt idx="16">
                  <c:v>4.0000000000000002E-4</c:v>
                </c:pt>
                <c:pt idx="17">
                  <c:v>-2.5000000000000001E-3</c:v>
                </c:pt>
                <c:pt idx="18">
                  <c:v>8.0000000000000004E-4</c:v>
                </c:pt>
                <c:pt idx="19">
                  <c:v>-2E-3</c:v>
                </c:pt>
                <c:pt idx="20">
                  <c:v>-4.7999999999999996E-3</c:v>
                </c:pt>
                <c:pt idx="21">
                  <c:v>2.9999999999999997E-4</c:v>
                </c:pt>
                <c:pt idx="22">
                  <c:v>5.1999999999999998E-3</c:v>
                </c:pt>
                <c:pt idx="23">
                  <c:v>-5.9999999999999995E-4</c:v>
                </c:pt>
                <c:pt idx="24">
                  <c:v>3.0000000000000001E-3</c:v>
                </c:pt>
                <c:pt idx="25">
                  <c:v>-4.1000000000000003E-3</c:v>
                </c:pt>
                <c:pt idx="26">
                  <c:v>2.8E-3</c:v>
                </c:pt>
                <c:pt idx="27">
                  <c:v>-1E-4</c:v>
                </c:pt>
                <c:pt idx="28">
                  <c:v>-1.5E-3</c:v>
                </c:pt>
                <c:pt idx="29">
                  <c:v>4.0000000000000002E-4</c:v>
                </c:pt>
                <c:pt idx="30">
                  <c:v>5.0000000000000001E-4</c:v>
                </c:pt>
                <c:pt idx="31">
                  <c:v>-1.4E-3</c:v>
                </c:pt>
                <c:pt idx="32">
                  <c:v>-2.5000000000000001E-3</c:v>
                </c:pt>
                <c:pt idx="33">
                  <c:v>-8.9999999999999998E-4</c:v>
                </c:pt>
                <c:pt idx="34">
                  <c:v>2.3999999999999998E-3</c:v>
                </c:pt>
                <c:pt idx="35">
                  <c:v>3.2000000000000002E-3</c:v>
                </c:pt>
                <c:pt idx="36">
                  <c:v>-2.2000000000000001E-3</c:v>
                </c:pt>
                <c:pt idx="37">
                  <c:v>0</c:v>
                </c:pt>
                <c:pt idx="38">
                  <c:v>1E-4</c:v>
                </c:pt>
                <c:pt idx="39">
                  <c:v>-1.1999999999999999E-3</c:v>
                </c:pt>
                <c:pt idx="40">
                  <c:v>5.0000000000000001E-4</c:v>
                </c:pt>
                <c:pt idx="41">
                  <c:v>-2.9999999999999997E-4</c:v>
                </c:pt>
                <c:pt idx="42">
                  <c:v>1.1999999999999999E-3</c:v>
                </c:pt>
                <c:pt idx="43">
                  <c:v>2.0999999999999999E-3</c:v>
                </c:pt>
                <c:pt idx="44">
                  <c:v>1.6999999999999999E-3</c:v>
                </c:pt>
                <c:pt idx="45">
                  <c:v>-2.3E-3</c:v>
                </c:pt>
                <c:pt idx="46">
                  <c:v>1E-4</c:v>
                </c:pt>
                <c:pt idx="47">
                  <c:v>-1E-3</c:v>
                </c:pt>
                <c:pt idx="4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CC2-524B-8171-ED3B2542ADFA}"/>
            </c:ext>
          </c:extLst>
        </c:ser>
        <c:ser>
          <c:idx val="4"/>
          <c:order val="4"/>
          <c:tx>
            <c:strRef>
              <c:f>GAM!$AB$2</c:f>
              <c:strCache>
                <c:ptCount val="1"/>
                <c:pt idx="0">
                  <c:v>IAU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val>
            <c:numRef>
              <c:f>GAM!$AB$4:$AB$52</c:f>
              <c:numCache>
                <c:formatCode>0.0%</c:formatCode>
                <c:ptCount val="49"/>
                <c:pt idx="0">
                  <c:v>-1.6999999999999999E-3</c:v>
                </c:pt>
                <c:pt idx="1">
                  <c:v>-5.0000000000000001E-3</c:v>
                </c:pt>
                <c:pt idx="2">
                  <c:v>-1E-3</c:v>
                </c:pt>
                <c:pt idx="3">
                  <c:v>2.8E-3</c:v>
                </c:pt>
                <c:pt idx="4">
                  <c:v>5.4000000000000003E-3</c:v>
                </c:pt>
                <c:pt idx="5">
                  <c:v>-5.5999999999999999E-3</c:v>
                </c:pt>
                <c:pt idx="6">
                  <c:v>1.6000000000000001E-3</c:v>
                </c:pt>
                <c:pt idx="7">
                  <c:v>0</c:v>
                </c:pt>
                <c:pt idx="8">
                  <c:v>-1.6999999999999999E-3</c:v>
                </c:pt>
                <c:pt idx="9">
                  <c:v>1E-3</c:v>
                </c:pt>
                <c:pt idx="10">
                  <c:v>-5.0000000000000001E-4</c:v>
                </c:pt>
                <c:pt idx="11">
                  <c:v>2.8E-3</c:v>
                </c:pt>
                <c:pt idx="12">
                  <c:v>-1.5E-3</c:v>
                </c:pt>
                <c:pt idx="13">
                  <c:v>6.0000000000000001E-3</c:v>
                </c:pt>
                <c:pt idx="14">
                  <c:v>1.1000000000000001E-3</c:v>
                </c:pt>
                <c:pt idx="15">
                  <c:v>-2.5000000000000001E-3</c:v>
                </c:pt>
                <c:pt idx="16">
                  <c:v>-4.1000000000000003E-3</c:v>
                </c:pt>
                <c:pt idx="17">
                  <c:v>-2.0999999999999999E-3</c:v>
                </c:pt>
                <c:pt idx="18">
                  <c:v>-3.8999999999999998E-3</c:v>
                </c:pt>
                <c:pt idx="19">
                  <c:v>-4.1000000000000003E-3</c:v>
                </c:pt>
                <c:pt idx="20">
                  <c:v>-5.1000000000000004E-3</c:v>
                </c:pt>
                <c:pt idx="21">
                  <c:v>-3.2000000000000002E-3</c:v>
                </c:pt>
                <c:pt idx="22">
                  <c:v>1.61E-2</c:v>
                </c:pt>
                <c:pt idx="23">
                  <c:v>6.3E-3</c:v>
                </c:pt>
                <c:pt idx="24">
                  <c:v>1.29E-2</c:v>
                </c:pt>
                <c:pt idx="25">
                  <c:v>-1.26E-2</c:v>
                </c:pt>
                <c:pt idx="26">
                  <c:v>1.37E-2</c:v>
                </c:pt>
                <c:pt idx="27">
                  <c:v>1.5E-3</c:v>
                </c:pt>
                <c:pt idx="28">
                  <c:v>-1.9E-3</c:v>
                </c:pt>
                <c:pt idx="29">
                  <c:v>-4.0000000000000001E-3</c:v>
                </c:pt>
                <c:pt idx="30">
                  <c:v>3.3999999999999998E-3</c:v>
                </c:pt>
                <c:pt idx="31">
                  <c:v>-1.9E-3</c:v>
                </c:pt>
                <c:pt idx="32">
                  <c:v>-8.8000000000000005E-3</c:v>
                </c:pt>
                <c:pt idx="33">
                  <c:v>1.46E-2</c:v>
                </c:pt>
                <c:pt idx="34">
                  <c:v>2.7000000000000001E-3</c:v>
                </c:pt>
                <c:pt idx="35">
                  <c:v>1.1999999999999999E-3</c:v>
                </c:pt>
                <c:pt idx="36">
                  <c:v>-2.3999999999999998E-3</c:v>
                </c:pt>
                <c:pt idx="37">
                  <c:v>1E-3</c:v>
                </c:pt>
                <c:pt idx="38">
                  <c:v>8.2000000000000007E-3</c:v>
                </c:pt>
                <c:pt idx="39">
                  <c:v>2.8E-3</c:v>
                </c:pt>
                <c:pt idx="40">
                  <c:v>1.5E-3</c:v>
                </c:pt>
                <c:pt idx="41">
                  <c:v>0</c:v>
                </c:pt>
                <c:pt idx="42">
                  <c:v>3.8999999999999998E-3</c:v>
                </c:pt>
                <c:pt idx="43">
                  <c:v>2.2000000000000001E-3</c:v>
                </c:pt>
                <c:pt idx="44">
                  <c:v>5.4999999999999997E-3</c:v>
                </c:pt>
                <c:pt idx="45">
                  <c:v>3.7000000000000002E-3</c:v>
                </c:pt>
                <c:pt idx="46">
                  <c:v>-2.7000000000000001E-3</c:v>
                </c:pt>
                <c:pt idx="47">
                  <c:v>-1.1000000000000001E-3</c:v>
                </c:pt>
                <c:pt idx="48">
                  <c:v>4.4999999999999997E-3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CC2-524B-8171-ED3B2542ADFA}"/>
            </c:ext>
          </c:extLst>
        </c:ser>
        <c:ser>
          <c:idx val="5"/>
          <c:order val="5"/>
          <c:tx>
            <c:strRef>
              <c:f>GAM!$AC$2</c:f>
              <c:strCache>
                <c:ptCount val="1"/>
                <c:pt idx="0">
                  <c:v>VEA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val>
            <c:numRef>
              <c:f>GAM!$AC$4:$AC$52</c:f>
              <c:numCache>
                <c:formatCode>0.0%</c:formatCode>
                <c:ptCount val="49"/>
                <c:pt idx="0">
                  <c:v>-1.1999999999999999E-3</c:v>
                </c:pt>
                <c:pt idx="1">
                  <c:v>-2.8E-3</c:v>
                </c:pt>
                <c:pt idx="2">
                  <c:v>1E-4</c:v>
                </c:pt>
                <c:pt idx="3">
                  <c:v>-4.0000000000000002E-4</c:v>
                </c:pt>
                <c:pt idx="4">
                  <c:v>0</c:v>
                </c:pt>
                <c:pt idx="5">
                  <c:v>6.9999999999999999E-4</c:v>
                </c:pt>
                <c:pt idx="6">
                  <c:v>3.0999999999999999E-3</c:v>
                </c:pt>
                <c:pt idx="7">
                  <c:v>-1.1000000000000001E-3</c:v>
                </c:pt>
                <c:pt idx="8">
                  <c:v>-2.5999999999999999E-3</c:v>
                </c:pt>
                <c:pt idx="9">
                  <c:v>-1.1000000000000001E-3</c:v>
                </c:pt>
                <c:pt idx="10">
                  <c:v>2.2000000000000001E-3</c:v>
                </c:pt>
                <c:pt idx="11">
                  <c:v>-1.5E-3</c:v>
                </c:pt>
                <c:pt idx="12">
                  <c:v>-2.8999999999999998E-3</c:v>
                </c:pt>
                <c:pt idx="13">
                  <c:v>-2.8999999999999998E-3</c:v>
                </c:pt>
                <c:pt idx="14">
                  <c:v>-4.1000000000000003E-3</c:v>
                </c:pt>
                <c:pt idx="15">
                  <c:v>-5.1999999999999998E-3</c:v>
                </c:pt>
                <c:pt idx="16">
                  <c:v>-1.1000000000000001E-3</c:v>
                </c:pt>
                <c:pt idx="17">
                  <c:v>-2.8999999999999998E-3</c:v>
                </c:pt>
                <c:pt idx="18">
                  <c:v>4.8999999999999998E-3</c:v>
                </c:pt>
                <c:pt idx="19">
                  <c:v>-5.4999999999999997E-3</c:v>
                </c:pt>
                <c:pt idx="20">
                  <c:v>-2.5999999999999999E-3</c:v>
                </c:pt>
                <c:pt idx="21">
                  <c:v>5.0000000000000001E-4</c:v>
                </c:pt>
                <c:pt idx="22">
                  <c:v>1.6999999999999999E-3</c:v>
                </c:pt>
                <c:pt idx="23">
                  <c:v>-5.9999999999999995E-4</c:v>
                </c:pt>
                <c:pt idx="24">
                  <c:v>6.9999999999999999E-4</c:v>
                </c:pt>
                <c:pt idx="25">
                  <c:v>-5.9999999999999995E-4</c:v>
                </c:pt>
                <c:pt idx="26">
                  <c:v>2.3E-3</c:v>
                </c:pt>
                <c:pt idx="27">
                  <c:v>2.0000000000000001E-4</c:v>
                </c:pt>
                <c:pt idx="28">
                  <c:v>2.0000000000000001E-4</c:v>
                </c:pt>
                <c:pt idx="29">
                  <c:v>0</c:v>
                </c:pt>
                <c:pt idx="30">
                  <c:v>0</c:v>
                </c:pt>
                <c:pt idx="31">
                  <c:v>2.0000000000000001E-4</c:v>
                </c:pt>
                <c:pt idx="32">
                  <c:v>-1.6999999999999999E-3</c:v>
                </c:pt>
                <c:pt idx="33">
                  <c:v>-2.0000000000000001E-4</c:v>
                </c:pt>
                <c:pt idx="34">
                  <c:v>4.1999999999999997E-3</c:v>
                </c:pt>
                <c:pt idx="35">
                  <c:v>2.8E-3</c:v>
                </c:pt>
                <c:pt idx="36">
                  <c:v>-5.0000000000000001E-4</c:v>
                </c:pt>
                <c:pt idx="37">
                  <c:v>-8.0000000000000004E-4</c:v>
                </c:pt>
                <c:pt idx="38">
                  <c:v>1.2999999999999999E-3</c:v>
                </c:pt>
                <c:pt idx="39">
                  <c:v>-1.6999999999999999E-3</c:v>
                </c:pt>
                <c:pt idx="40">
                  <c:v>4.0000000000000002E-4</c:v>
                </c:pt>
                <c:pt idx="41">
                  <c:v>8.9999999999999998E-4</c:v>
                </c:pt>
                <c:pt idx="42">
                  <c:v>3.0999999999999999E-3</c:v>
                </c:pt>
                <c:pt idx="43">
                  <c:v>5.0000000000000001E-4</c:v>
                </c:pt>
                <c:pt idx="44">
                  <c:v>1.4E-3</c:v>
                </c:pt>
                <c:pt idx="45">
                  <c:v>-1.6000000000000001E-3</c:v>
                </c:pt>
                <c:pt idx="46">
                  <c:v>2.8999999999999998E-3</c:v>
                </c:pt>
                <c:pt idx="47">
                  <c:v>-1.5E-3</c:v>
                </c:pt>
                <c:pt idx="48">
                  <c:v>4.0000000000000002E-4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CC2-524B-8171-ED3B2542ADFA}"/>
            </c:ext>
          </c:extLst>
        </c:ser>
        <c:ser>
          <c:idx val="6"/>
          <c:order val="6"/>
          <c:tx>
            <c:strRef>
              <c:f>GAM!$AD$2</c:f>
              <c:strCache>
                <c:ptCount val="1"/>
                <c:pt idx="0">
                  <c:v>RWX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  <a:prstDash val="solid"/>
            </a:ln>
          </c:spPr>
          <c:invertIfNegative val="0"/>
          <c:val>
            <c:numRef>
              <c:f>GAM!$AD$4:$AD$52</c:f>
              <c:numCache>
                <c:formatCode>0.0%</c:formatCode>
                <c:ptCount val="49"/>
                <c:pt idx="0">
                  <c:v>-1E-4</c:v>
                </c:pt>
                <c:pt idx="1">
                  <c:v>2.0000000000000001E-4</c:v>
                </c:pt>
                <c:pt idx="2">
                  <c:v>2.0000000000000001E-4</c:v>
                </c:pt>
                <c:pt idx="3">
                  <c:v>1.5E-3</c:v>
                </c:pt>
                <c:pt idx="4">
                  <c:v>1.1999999999999999E-3</c:v>
                </c:pt>
                <c:pt idx="5">
                  <c:v>-1E-4</c:v>
                </c:pt>
                <c:pt idx="6">
                  <c:v>6.9999999999999999E-4</c:v>
                </c:pt>
                <c:pt idx="7">
                  <c:v>1E-4</c:v>
                </c:pt>
                <c:pt idx="8">
                  <c:v>-1E-3</c:v>
                </c:pt>
                <c:pt idx="9">
                  <c:v>5.9999999999999995E-4</c:v>
                </c:pt>
                <c:pt idx="10">
                  <c:v>-1E-3</c:v>
                </c:pt>
                <c:pt idx="11">
                  <c:v>1E-3</c:v>
                </c:pt>
                <c:pt idx="12">
                  <c:v>-1.1000000000000001E-3</c:v>
                </c:pt>
                <c:pt idx="13">
                  <c:v>-4.0000000000000002E-4</c:v>
                </c:pt>
                <c:pt idx="14">
                  <c:v>6.9999999999999999E-4</c:v>
                </c:pt>
                <c:pt idx="15">
                  <c:v>-2.2000000000000001E-3</c:v>
                </c:pt>
                <c:pt idx="16">
                  <c:v>1E-4</c:v>
                </c:pt>
                <c:pt idx="17">
                  <c:v>-3.3999999999999998E-3</c:v>
                </c:pt>
                <c:pt idx="18">
                  <c:v>2.0999999999999999E-3</c:v>
                </c:pt>
                <c:pt idx="19">
                  <c:v>-2.2000000000000001E-3</c:v>
                </c:pt>
                <c:pt idx="20">
                  <c:v>-2.5999999999999999E-3</c:v>
                </c:pt>
                <c:pt idx="21">
                  <c:v>2.9999999999999997E-4</c:v>
                </c:pt>
                <c:pt idx="22">
                  <c:v>1.6000000000000001E-3</c:v>
                </c:pt>
                <c:pt idx="23">
                  <c:v>1E-4</c:v>
                </c:pt>
                <c:pt idx="24">
                  <c:v>4.0000000000000002E-4</c:v>
                </c:pt>
                <c:pt idx="25">
                  <c:v>-2.9999999999999997E-4</c:v>
                </c:pt>
                <c:pt idx="26">
                  <c:v>-2.9999999999999997E-4</c:v>
                </c:pt>
                <c:pt idx="27">
                  <c:v>8.9999999999999998E-4</c:v>
                </c:pt>
                <c:pt idx="28">
                  <c:v>-1.6000000000000001E-3</c:v>
                </c:pt>
                <c:pt idx="29">
                  <c:v>-1E-4</c:v>
                </c:pt>
                <c:pt idx="30">
                  <c:v>1E-3</c:v>
                </c:pt>
                <c:pt idx="31">
                  <c:v>-6.9999999999999999E-4</c:v>
                </c:pt>
                <c:pt idx="32">
                  <c:v>-8.9999999999999998E-4</c:v>
                </c:pt>
                <c:pt idx="33">
                  <c:v>-6.9999999999999999E-4</c:v>
                </c:pt>
                <c:pt idx="34">
                  <c:v>3.0999999999999999E-3</c:v>
                </c:pt>
                <c:pt idx="35">
                  <c:v>1.6999999999999999E-3</c:v>
                </c:pt>
                <c:pt idx="36">
                  <c:v>-8.9999999999999998E-4</c:v>
                </c:pt>
                <c:pt idx="37">
                  <c:v>-8.0000000000000004E-4</c:v>
                </c:pt>
                <c:pt idx="38">
                  <c:v>1.4E-3</c:v>
                </c:pt>
                <c:pt idx="39">
                  <c:v>-1.2999999999999999E-3</c:v>
                </c:pt>
                <c:pt idx="40">
                  <c:v>5.0000000000000001E-4</c:v>
                </c:pt>
                <c:pt idx="41">
                  <c:v>-8.9999999999999998E-4</c:v>
                </c:pt>
                <c:pt idx="42">
                  <c:v>1.5E-3</c:v>
                </c:pt>
                <c:pt idx="43">
                  <c:v>1.1000000000000001E-3</c:v>
                </c:pt>
                <c:pt idx="44">
                  <c:v>4.0000000000000002E-4</c:v>
                </c:pt>
                <c:pt idx="45">
                  <c:v>-2E-3</c:v>
                </c:pt>
                <c:pt idx="46">
                  <c:v>-2.9999999999999997E-4</c:v>
                </c:pt>
                <c:pt idx="47">
                  <c:v>-1.6999999999999999E-3</c:v>
                </c:pt>
                <c:pt idx="48">
                  <c:v>1.1000000000000001E-3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CC2-524B-8171-ED3B2542ADFA}"/>
            </c:ext>
          </c:extLst>
        </c:ser>
        <c:ser>
          <c:idx val="7"/>
          <c:order val="7"/>
          <c:tx>
            <c:strRef>
              <c:f>GAM!$AE$2</c:f>
              <c:strCache>
                <c:ptCount val="1"/>
                <c:pt idx="0">
                  <c:v>EWJ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  <a:prstDash val="solid"/>
            </a:ln>
          </c:spPr>
          <c:invertIfNegative val="0"/>
          <c:val>
            <c:numRef>
              <c:f>GAM!$AE$4:$AE$52</c:f>
              <c:numCache>
                <c:formatCode>0.0%</c:formatCode>
                <c:ptCount val="49"/>
                <c:pt idx="0">
                  <c:v>-1E-4</c:v>
                </c:pt>
                <c:pt idx="1">
                  <c:v>5.9999999999999995E-4</c:v>
                </c:pt>
                <c:pt idx="2">
                  <c:v>1E-4</c:v>
                </c:pt>
                <c:pt idx="3">
                  <c:v>-1.2999999999999999E-3</c:v>
                </c:pt>
                <c:pt idx="4">
                  <c:v>1.1999999999999999E-3</c:v>
                </c:pt>
                <c:pt idx="5">
                  <c:v>-5.9999999999999995E-4</c:v>
                </c:pt>
                <c:pt idx="6">
                  <c:v>-2.9999999999999997E-4</c:v>
                </c:pt>
                <c:pt idx="7">
                  <c:v>8.9999999999999998E-4</c:v>
                </c:pt>
                <c:pt idx="8">
                  <c:v>1.2999999999999999E-3</c:v>
                </c:pt>
                <c:pt idx="9">
                  <c:v>-1.5E-3</c:v>
                </c:pt>
                <c:pt idx="10">
                  <c:v>-2.2000000000000001E-3</c:v>
                </c:pt>
                <c:pt idx="11">
                  <c:v>1.5E-3</c:v>
                </c:pt>
                <c:pt idx="12">
                  <c:v>-2.5000000000000001E-3</c:v>
                </c:pt>
                <c:pt idx="13">
                  <c:v>-1E-3</c:v>
                </c:pt>
                <c:pt idx="14">
                  <c:v>-1.1999999999999999E-3</c:v>
                </c:pt>
                <c:pt idx="15">
                  <c:v>-5.4999999999999997E-3</c:v>
                </c:pt>
                <c:pt idx="16">
                  <c:v>1.1000000000000001E-3</c:v>
                </c:pt>
                <c:pt idx="17">
                  <c:v>-4.8999999999999998E-3</c:v>
                </c:pt>
                <c:pt idx="18">
                  <c:v>4.7000000000000002E-3</c:v>
                </c:pt>
                <c:pt idx="19">
                  <c:v>-3.8E-3</c:v>
                </c:pt>
                <c:pt idx="20">
                  <c:v>-5.1000000000000004E-3</c:v>
                </c:pt>
                <c:pt idx="21">
                  <c:v>1.1999999999999999E-3</c:v>
                </c:pt>
                <c:pt idx="22">
                  <c:v>6.0000000000000001E-3</c:v>
                </c:pt>
                <c:pt idx="23">
                  <c:v>-2.0000000000000001E-4</c:v>
                </c:pt>
                <c:pt idx="24">
                  <c:v>1.4E-3</c:v>
                </c:pt>
                <c:pt idx="25">
                  <c:v>-8.9999999999999998E-4</c:v>
                </c:pt>
                <c:pt idx="26">
                  <c:v>2.8E-3</c:v>
                </c:pt>
                <c:pt idx="27">
                  <c:v>2.0000000000000001E-4</c:v>
                </c:pt>
                <c:pt idx="28">
                  <c:v>5.0000000000000001E-4</c:v>
                </c:pt>
                <c:pt idx="29">
                  <c:v>2.7000000000000001E-3</c:v>
                </c:pt>
                <c:pt idx="30">
                  <c:v>1.1999999999999999E-3</c:v>
                </c:pt>
                <c:pt idx="31">
                  <c:v>-1.4E-3</c:v>
                </c:pt>
                <c:pt idx="32">
                  <c:v>-8.9999999999999998E-4</c:v>
                </c:pt>
                <c:pt idx="33">
                  <c:v>-1.1000000000000001E-3</c:v>
                </c:pt>
                <c:pt idx="34">
                  <c:v>4.4000000000000003E-3</c:v>
                </c:pt>
                <c:pt idx="35">
                  <c:v>2.3999999999999998E-3</c:v>
                </c:pt>
                <c:pt idx="36">
                  <c:v>2.2000000000000001E-3</c:v>
                </c:pt>
                <c:pt idx="37">
                  <c:v>3.7000000000000002E-3</c:v>
                </c:pt>
                <c:pt idx="38">
                  <c:v>3.2000000000000002E-3</c:v>
                </c:pt>
                <c:pt idx="39">
                  <c:v>-5.3E-3</c:v>
                </c:pt>
                <c:pt idx="40">
                  <c:v>2E-3</c:v>
                </c:pt>
                <c:pt idx="41">
                  <c:v>-1E-4</c:v>
                </c:pt>
                <c:pt idx="42">
                  <c:v>3.2000000000000002E-3</c:v>
                </c:pt>
                <c:pt idx="43">
                  <c:v>-8.0000000000000004E-4</c:v>
                </c:pt>
                <c:pt idx="44">
                  <c:v>-4.0000000000000002E-4</c:v>
                </c:pt>
                <c:pt idx="45">
                  <c:v>-2E-3</c:v>
                </c:pt>
                <c:pt idx="46">
                  <c:v>1E-3</c:v>
                </c:pt>
                <c:pt idx="47">
                  <c:v>-1.4E-3</c:v>
                </c:pt>
                <c:pt idx="48">
                  <c:v>1.4E-3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CC2-524B-8171-ED3B2542AD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15193840"/>
        <c:axId val="415194320"/>
      </c:barChart>
      <c:catAx>
        <c:axId val="4151938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5194320"/>
        <c:crosses val="autoZero"/>
        <c:auto val="1"/>
        <c:lblAlgn val="ctr"/>
        <c:lblOffset val="100"/>
        <c:noMultiLvlLbl val="0"/>
      </c:catAx>
      <c:valAx>
        <c:axId val="415194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519384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r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val>
            <c:numRef>
              <c:f>GAM!$AG$4:$AG$53</c:f>
              <c:numCache>
                <c:formatCode>0.0%</c:formatCode>
                <c:ptCount val="50"/>
                <c:pt idx="0">
                  <c:v>0</c:v>
                </c:pt>
                <c:pt idx="1">
                  <c:v>8.0000000000000004E-4</c:v>
                </c:pt>
                <c:pt idx="2">
                  <c:v>1.6000000000000001E-3</c:v>
                </c:pt>
                <c:pt idx="3">
                  <c:v>2.7000000000000001E-3</c:v>
                </c:pt>
                <c:pt idx="4">
                  <c:v>4.0000000000000002E-4</c:v>
                </c:pt>
                <c:pt idx="5">
                  <c:v>1.2999999999999999E-3</c:v>
                </c:pt>
                <c:pt idx="6">
                  <c:v>1.5E-3</c:v>
                </c:pt>
                <c:pt idx="7">
                  <c:v>1.6999999999999999E-3</c:v>
                </c:pt>
                <c:pt idx="8">
                  <c:v>-3.7000000000000002E-3</c:v>
                </c:pt>
                <c:pt idx="9">
                  <c:v>5.1000000000000004E-3</c:v>
                </c:pt>
                <c:pt idx="10">
                  <c:v>-5.9999999999999995E-4</c:v>
                </c:pt>
                <c:pt idx="11">
                  <c:v>3.3E-3</c:v>
                </c:pt>
                <c:pt idx="12">
                  <c:v>-3.0000000000000001E-3</c:v>
                </c:pt>
                <c:pt idx="13">
                  <c:v>-1.5E-3</c:v>
                </c:pt>
                <c:pt idx="14">
                  <c:v>1.9E-3</c:v>
                </c:pt>
                <c:pt idx="15">
                  <c:v>-5.4999999999999997E-3</c:v>
                </c:pt>
                <c:pt idx="16">
                  <c:v>1E-4</c:v>
                </c:pt>
                <c:pt idx="17">
                  <c:v>-4.5999999999999999E-3</c:v>
                </c:pt>
                <c:pt idx="18">
                  <c:v>4.8999999999999998E-3</c:v>
                </c:pt>
                <c:pt idx="19">
                  <c:v>-2.3999999999999998E-3</c:v>
                </c:pt>
                <c:pt idx="20">
                  <c:v>-3.8E-3</c:v>
                </c:pt>
                <c:pt idx="21">
                  <c:v>3.5999999999999999E-3</c:v>
                </c:pt>
                <c:pt idx="22">
                  <c:v>2.3E-3</c:v>
                </c:pt>
                <c:pt idx="23">
                  <c:v>-1E-3</c:v>
                </c:pt>
                <c:pt idx="24">
                  <c:v>1E-3</c:v>
                </c:pt>
                <c:pt idx="25">
                  <c:v>-5.0000000000000001E-4</c:v>
                </c:pt>
                <c:pt idx="26">
                  <c:v>1.9E-3</c:v>
                </c:pt>
                <c:pt idx="27">
                  <c:v>8.9999999999999998E-4</c:v>
                </c:pt>
                <c:pt idx="28">
                  <c:v>2.0000000000000001E-4</c:v>
                </c:pt>
                <c:pt idx="29">
                  <c:v>2.5000000000000001E-3</c:v>
                </c:pt>
                <c:pt idx="30">
                  <c:v>2E-3</c:v>
                </c:pt>
                <c:pt idx="31">
                  <c:v>-1.1000000000000001E-3</c:v>
                </c:pt>
                <c:pt idx="32">
                  <c:v>-3.0999999999999999E-3</c:v>
                </c:pt>
                <c:pt idx="33">
                  <c:v>-1.2999999999999999E-3</c:v>
                </c:pt>
                <c:pt idx="34">
                  <c:v>7.7000000000000002E-3</c:v>
                </c:pt>
                <c:pt idx="35">
                  <c:v>3.0000000000000001E-3</c:v>
                </c:pt>
                <c:pt idx="36">
                  <c:v>1.2999999999999999E-3</c:v>
                </c:pt>
                <c:pt idx="37">
                  <c:v>5.4999999999999997E-3</c:v>
                </c:pt>
                <c:pt idx="38">
                  <c:v>3.8E-3</c:v>
                </c:pt>
                <c:pt idx="39">
                  <c:v>-3.8999999999999998E-3</c:v>
                </c:pt>
                <c:pt idx="40">
                  <c:v>4.1000000000000003E-3</c:v>
                </c:pt>
                <c:pt idx="41">
                  <c:v>3.0999999999999999E-3</c:v>
                </c:pt>
                <c:pt idx="42">
                  <c:v>1.2999999999999999E-3</c:v>
                </c:pt>
                <c:pt idx="43">
                  <c:v>1.1000000000000001E-3</c:v>
                </c:pt>
                <c:pt idx="44">
                  <c:v>6.9999999999999999E-4</c:v>
                </c:pt>
                <c:pt idx="45">
                  <c:v>-5.0000000000000001E-4</c:v>
                </c:pt>
                <c:pt idx="46">
                  <c:v>3.7000000000000002E-3</c:v>
                </c:pt>
                <c:pt idx="47">
                  <c:v>-2.8999999999999998E-3</c:v>
                </c:pt>
                <c:pt idx="48">
                  <c:v>2.8999999999999998E-3</c:v>
                </c:pt>
                <c:pt idx="49">
                  <c:v>-1.2999999999999999E-3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9A-CA44-BA79-D0A78D6F85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84566431"/>
        <c:axId val="1584567871"/>
      </c:barChart>
      <c:catAx>
        <c:axId val="158456643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4567871"/>
        <c:crosses val="autoZero"/>
        <c:auto val="1"/>
        <c:lblAlgn val="ctr"/>
        <c:lblOffset val="100"/>
        <c:noMultiLvlLbl val="0"/>
      </c:catAx>
      <c:valAx>
        <c:axId val="1584567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4566431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46</xdr:col>
      <xdr:colOff>619125</xdr:colOff>
      <xdr:row>21</xdr:row>
      <xdr:rowOff>171450</xdr:rowOff>
    </xdr:from>
    <xdr:to>
      <xdr:col>55</xdr:col>
      <xdr:colOff>381000</xdr:colOff>
      <xdr:row>38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42</xdr:col>
      <xdr:colOff>242887</xdr:colOff>
      <xdr:row>15</xdr:row>
      <xdr:rowOff>147637</xdr:rowOff>
    </xdr:from>
    <xdr:to>
      <xdr:col>48</xdr:col>
      <xdr:colOff>352425</xdr:colOff>
      <xdr:row>32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42</xdr:col>
      <xdr:colOff>200025</xdr:colOff>
      <xdr:row>32</xdr:row>
      <xdr:rowOff>14287</xdr:rowOff>
    </xdr:from>
    <xdr:to>
      <xdr:col>47</xdr:col>
      <xdr:colOff>990600</xdr:colOff>
      <xdr:row>46</xdr:row>
      <xdr:rowOff>90487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60"/>
  <sheetViews>
    <sheetView tabSelected="1" workbookViewId="0">
      <selection activeCell="K3" sqref="K3"/>
    </sheetView>
  </sheetViews>
  <sheetFormatPr baseColWidth="10" defaultColWidth="8.83203125" defaultRowHeight="15" x14ac:dyDescent="0.2"/>
  <cols>
    <col min="1" max="1" width="11.6640625" customWidth="1"/>
    <col min="2" max="2" width="19.5" bestFit="1" customWidth="1"/>
    <col min="3" max="3" width="18" bestFit="1" customWidth="1"/>
    <col min="44" max="44" width="15.83203125" customWidth="1"/>
    <col min="45" max="45" width="14.1640625" customWidth="1"/>
    <col min="49" max="49" width="15.1640625" bestFit="1" customWidth="1"/>
    <col min="50" max="50" width="18.5" bestFit="1" customWidth="1"/>
    <col min="51" max="51" width="13.33203125" bestFit="1" customWidth="1"/>
    <col min="52" max="52" width="14" bestFit="1" customWidth="1"/>
  </cols>
  <sheetData>
    <row r="1" spans="1:50" x14ac:dyDescent="0.2">
      <c r="B1" s="2" t="s">
        <v>0</v>
      </c>
      <c r="D1" s="2" t="s">
        <v>1</v>
      </c>
      <c r="E1" s="9">
        <v>5.0000000000000001E-3</v>
      </c>
      <c r="F1" s="5"/>
      <c r="J1" s="2" t="s">
        <v>2</v>
      </c>
      <c r="X1" s="2" t="s">
        <v>3</v>
      </c>
      <c r="AL1" s="6" t="s">
        <v>4</v>
      </c>
      <c r="AM1" s="6" t="s">
        <v>4</v>
      </c>
      <c r="AQ1" s="2"/>
    </row>
    <row r="2" spans="1:50" ht="49.5" customHeight="1" x14ac:dyDescent="0.2">
      <c r="A2" t="s">
        <v>5</v>
      </c>
      <c r="B2" s="1" t="s">
        <v>6</v>
      </c>
      <c r="C2" s="1" t="s">
        <v>7</v>
      </c>
      <c r="D2" s="1" t="s">
        <v>8</v>
      </c>
      <c r="E2" s="1" t="s">
        <v>9</v>
      </c>
      <c r="F2" s="1" t="s">
        <v>10</v>
      </c>
      <c r="G2" s="1" t="s">
        <v>11</v>
      </c>
      <c r="H2" s="1" t="s">
        <v>12</v>
      </c>
      <c r="I2" s="1" t="s">
        <v>13</v>
      </c>
      <c r="J2" s="14" t="s">
        <v>14</v>
      </c>
      <c r="K2" s="14" t="s">
        <v>15</v>
      </c>
      <c r="L2" s="14" t="s">
        <v>16</v>
      </c>
      <c r="M2" s="14" t="s">
        <v>17</v>
      </c>
      <c r="N2" s="14" t="s">
        <v>18</v>
      </c>
      <c r="O2" s="17" t="s">
        <v>19</v>
      </c>
      <c r="P2" s="14" t="s">
        <v>20</v>
      </c>
      <c r="Q2" s="14" t="s">
        <v>21</v>
      </c>
      <c r="R2" s="14" t="s">
        <v>22</v>
      </c>
      <c r="S2" s="14" t="s">
        <v>10</v>
      </c>
      <c r="T2" s="14" t="s">
        <v>23</v>
      </c>
      <c r="U2" s="14" t="s">
        <v>24</v>
      </c>
      <c r="V2" s="14" t="s">
        <v>25</v>
      </c>
      <c r="W2" s="14" t="s">
        <v>26</v>
      </c>
      <c r="X2" s="13" t="s">
        <v>14</v>
      </c>
      <c r="Y2" s="13" t="s">
        <v>15</v>
      </c>
      <c r="Z2" s="13" t="s">
        <v>16</v>
      </c>
      <c r="AA2" s="13" t="s">
        <v>17</v>
      </c>
      <c r="AB2" s="13" t="s">
        <v>18</v>
      </c>
      <c r="AC2" s="13" t="s">
        <v>19</v>
      </c>
      <c r="AD2" s="13" t="s">
        <v>20</v>
      </c>
      <c r="AE2" s="13" t="s">
        <v>21</v>
      </c>
      <c r="AF2" s="13" t="s">
        <v>22</v>
      </c>
      <c r="AG2" s="13" t="s">
        <v>10</v>
      </c>
      <c r="AH2" s="13" t="s">
        <v>23</v>
      </c>
      <c r="AI2" s="13" t="s">
        <v>24</v>
      </c>
      <c r="AJ2" s="13" t="s">
        <v>25</v>
      </c>
      <c r="AK2" s="13" t="s">
        <v>26</v>
      </c>
      <c r="AL2" s="13" t="s">
        <v>27</v>
      </c>
      <c r="AM2" s="13" t="s">
        <v>4</v>
      </c>
      <c r="AP2" s="8"/>
      <c r="AQ2" s="8"/>
      <c r="AR2" s="8"/>
      <c r="AS2" s="8"/>
      <c r="AT2" s="8"/>
      <c r="AU2" s="8"/>
      <c r="AV2" s="8"/>
      <c r="AW2" s="8"/>
      <c r="AX2" s="8"/>
    </row>
    <row r="3" spans="1:50" ht="49.5" customHeight="1" x14ac:dyDescent="0.2">
      <c r="B3" s="1"/>
      <c r="C3" s="1"/>
      <c r="D3" s="1"/>
      <c r="E3" s="1"/>
      <c r="F3" s="1"/>
      <c r="G3" s="1"/>
      <c r="H3" s="1"/>
      <c r="I3" s="1"/>
      <c r="J3" s="14" t="s">
        <v>28</v>
      </c>
      <c r="K3" s="14" t="s">
        <v>29</v>
      </c>
      <c r="N3" s="14" t="s">
        <v>30</v>
      </c>
      <c r="O3" s="14" t="s">
        <v>31</v>
      </c>
      <c r="R3" s="14" t="s">
        <v>32</v>
      </c>
      <c r="U3" s="14" t="s">
        <v>9</v>
      </c>
      <c r="V3" s="14" t="s">
        <v>33</v>
      </c>
      <c r="W3" s="14" t="s">
        <v>34</v>
      </c>
      <c r="X3" s="13" t="s">
        <v>28</v>
      </c>
      <c r="Y3" s="13" t="s">
        <v>29</v>
      </c>
      <c r="Z3" s="13"/>
      <c r="AA3" s="13"/>
      <c r="AB3" s="13" t="s">
        <v>30</v>
      </c>
      <c r="AC3" s="13" t="s">
        <v>31</v>
      </c>
      <c r="AD3" s="13"/>
      <c r="AE3" s="13"/>
      <c r="AF3" s="13" t="s">
        <v>32</v>
      </c>
      <c r="AG3" s="13"/>
      <c r="AH3" s="13"/>
      <c r="AI3" s="13" t="s">
        <v>9</v>
      </c>
      <c r="AJ3" s="13" t="s">
        <v>33</v>
      </c>
      <c r="AK3" s="13" t="s">
        <v>34</v>
      </c>
      <c r="AL3" s="13"/>
      <c r="AM3" s="13"/>
      <c r="AP3" s="8"/>
      <c r="AQ3" s="8"/>
      <c r="AR3" s="8"/>
      <c r="AS3" s="8"/>
      <c r="AT3" s="8"/>
      <c r="AU3" s="8"/>
      <c r="AV3" s="8"/>
      <c r="AW3" s="8"/>
      <c r="AX3" s="8"/>
    </row>
    <row r="4" spans="1:50" x14ac:dyDescent="0.2">
      <c r="A4" s="16">
        <v>44227</v>
      </c>
      <c r="B4" s="15">
        <v>-7.878318530000001E-3</v>
      </c>
      <c r="C4" s="11">
        <f t="shared" ref="C4:C11" si="0">+B4-$E$1/12</f>
        <v>-8.2949851966666668E-3</v>
      </c>
      <c r="D4">
        <v>-3.0999999999999999E-3</v>
      </c>
      <c r="E4">
        <v>-7.4000000000000003E-3</v>
      </c>
      <c r="F4">
        <v>-1.0200000000000001E-2</v>
      </c>
      <c r="G4">
        <v>-5.3E-3</v>
      </c>
      <c r="H4">
        <v>-4.7999999999999996E-3</v>
      </c>
      <c r="I4">
        <v>-4.4000000000000003E-3</v>
      </c>
      <c r="J4" s="3">
        <v>4.8493303911033001E-2</v>
      </c>
      <c r="K4" s="3">
        <v>8.5850670972431008E-3</v>
      </c>
      <c r="L4" s="3">
        <v>2.2953076861369701E-2</v>
      </c>
      <c r="M4" s="3">
        <v>6.0114733892910298E-2</v>
      </c>
      <c r="N4" s="3">
        <v>8.1865238191965006E-2</v>
      </c>
      <c r="O4" s="3">
        <v>0.18959658534094101</v>
      </c>
      <c r="P4" s="3">
        <v>8.9443714378358106E-3</v>
      </c>
      <c r="Q4" s="3">
        <v>3.5614838941902503E-2</v>
      </c>
      <c r="R4" s="3">
        <v>0.128730208357618</v>
      </c>
      <c r="S4" s="3">
        <v>2.63758806649361E-2</v>
      </c>
      <c r="T4" s="3">
        <v>0.15594701653593299</v>
      </c>
      <c r="U4" s="3">
        <v>0.12585516165069399</v>
      </c>
      <c r="V4" s="3">
        <v>8.0036926022695604E-2</v>
      </c>
      <c r="W4" s="3">
        <v>2.6887591092920299E-2</v>
      </c>
      <c r="X4" s="4">
        <v>1.6000000000000001E-3</v>
      </c>
      <c r="Y4" s="4">
        <v>2.9999999999999997E-4</v>
      </c>
      <c r="Z4" s="4">
        <v>-5.0000000000000001E-4</v>
      </c>
      <c r="AA4" s="4">
        <v>-5.9999999999999995E-4</v>
      </c>
      <c r="AB4" s="4">
        <v>-1.6999999999999999E-3</v>
      </c>
      <c r="AC4" s="4">
        <v>-1.1999999999999999E-3</v>
      </c>
      <c r="AD4" s="4">
        <v>-1E-4</v>
      </c>
      <c r="AE4" s="4">
        <v>-1E-4</v>
      </c>
      <c r="AF4" s="4">
        <v>-1.4E-3</v>
      </c>
      <c r="AG4" s="4">
        <v>0</v>
      </c>
      <c r="AH4" s="4">
        <v>5.0000000000000001E-4</v>
      </c>
      <c r="AI4" s="4">
        <v>-8.0000000000000004E-4</v>
      </c>
      <c r="AJ4" s="4">
        <v>-2.8999999999999998E-3</v>
      </c>
      <c r="AK4" s="4">
        <v>5.0000000000000001E-4</v>
      </c>
      <c r="AL4" s="4">
        <f t="shared" ref="AL4:AL35" si="1">SUM(X4:AK4)</f>
        <v>-6.3999999999999994E-3</v>
      </c>
      <c r="AM4" s="4">
        <f t="shared" ref="AM4:AM35" si="2">+AL4-B4</f>
        <v>1.4783185300000015E-3</v>
      </c>
      <c r="AV4" s="7"/>
    </row>
    <row r="5" spans="1:50" x14ac:dyDescent="0.2">
      <c r="A5" s="16">
        <v>44255</v>
      </c>
      <c r="B5" s="15">
        <v>-1.260953854E-2</v>
      </c>
      <c r="C5" s="11">
        <f t="shared" si="0"/>
        <v>-1.3026205206666665E-2</v>
      </c>
      <c r="D5">
        <v>2.29E-2</v>
      </c>
      <c r="E5">
        <v>-1.52E-2</v>
      </c>
      <c r="F5">
        <v>2.7799999999999998E-2</v>
      </c>
      <c r="G5">
        <v>3.8999999999999998E-3</v>
      </c>
      <c r="H5">
        <v>7.7000000000000002E-3</v>
      </c>
      <c r="I5">
        <v>1.15E-2</v>
      </c>
      <c r="J5" s="3">
        <v>5.6788221819852998E-2</v>
      </c>
      <c r="K5" s="3">
        <v>9.7236487016600006E-3</v>
      </c>
      <c r="L5" s="3">
        <v>3.16173507390742E-2</v>
      </c>
      <c r="M5" s="3">
        <v>6.3269117345712403E-2</v>
      </c>
      <c r="N5" s="3">
        <v>7.9641063284022207E-2</v>
      </c>
      <c r="O5" s="3">
        <v>0.172999644805717</v>
      </c>
      <c r="P5" s="3">
        <v>1.1486225997737401E-2</v>
      </c>
      <c r="Q5" s="3">
        <v>3.0412037574537299E-2</v>
      </c>
      <c r="R5" s="3">
        <v>0.12070585552226901</v>
      </c>
      <c r="S5" s="3">
        <v>3.1017539805296802E-2</v>
      </c>
      <c r="T5" s="3">
        <v>0.14758893167906501</v>
      </c>
      <c r="U5" s="3">
        <v>0.13536170537905201</v>
      </c>
      <c r="V5" s="3">
        <v>7.8590009823294907E-2</v>
      </c>
      <c r="W5" s="3">
        <v>3.0798647522705998E-2</v>
      </c>
      <c r="X5" s="4">
        <v>5.5999999999999999E-3</v>
      </c>
      <c r="Y5" s="4">
        <v>1E-4</v>
      </c>
      <c r="Z5" s="4">
        <v>8.0000000000000004E-4</v>
      </c>
      <c r="AA5" s="4">
        <v>-1.6999999999999999E-3</v>
      </c>
      <c r="AB5" s="4">
        <v>-5.0000000000000001E-3</v>
      </c>
      <c r="AC5" s="4">
        <v>-2.8E-3</v>
      </c>
      <c r="AD5" s="4">
        <v>2.0000000000000001E-4</v>
      </c>
      <c r="AE5" s="4">
        <v>5.9999999999999995E-4</v>
      </c>
      <c r="AF5" s="4">
        <v>-2.8E-3</v>
      </c>
      <c r="AG5" s="4">
        <v>8.0000000000000004E-4</v>
      </c>
      <c r="AH5" s="4">
        <v>-2.5000000000000001E-3</v>
      </c>
      <c r="AI5" s="4">
        <v>-2.0999999999999999E-3</v>
      </c>
      <c r="AJ5" s="4">
        <v>-4.4999999999999997E-3</v>
      </c>
      <c r="AK5" s="4">
        <v>6.9999999999999999E-4</v>
      </c>
      <c r="AL5" s="4">
        <f t="shared" si="1"/>
        <v>-1.26E-2</v>
      </c>
      <c r="AM5" s="4">
        <f t="shared" si="2"/>
        <v>9.5385399999994847E-6</v>
      </c>
    </row>
    <row r="6" spans="1:50" x14ac:dyDescent="0.2">
      <c r="A6" s="16">
        <v>44286</v>
      </c>
      <c r="B6" s="15">
        <v>-7.44569055E-3</v>
      </c>
      <c r="C6" s="11">
        <f t="shared" si="0"/>
        <v>-7.8623572166666659E-3</v>
      </c>
      <c r="D6">
        <v>2.8500000000000001E-2</v>
      </c>
      <c r="E6">
        <v>-1.15E-2</v>
      </c>
      <c r="F6">
        <v>4.5400000000000003E-2</v>
      </c>
      <c r="G6">
        <v>8.5000000000000006E-3</v>
      </c>
      <c r="H6">
        <v>1.2500000000000001E-2</v>
      </c>
      <c r="I6">
        <v>1.6500000000000001E-2</v>
      </c>
      <c r="J6" s="3">
        <v>6.1816035962159399E-2</v>
      </c>
      <c r="K6" s="3">
        <v>1.0169732547055299E-2</v>
      </c>
      <c r="L6" s="3">
        <v>4.4483921747927098E-2</v>
      </c>
      <c r="M6" s="3">
        <v>7.6979052651345997E-2</v>
      </c>
      <c r="N6" s="3">
        <v>9.2103195447755207E-2</v>
      </c>
      <c r="O6" s="3">
        <v>0.151499471183764</v>
      </c>
      <c r="P6" s="3">
        <v>1.62463890019784E-2</v>
      </c>
      <c r="Q6" s="3">
        <v>3.6915402358006701E-2</v>
      </c>
      <c r="R6" s="3">
        <v>0.11136122914149101</v>
      </c>
      <c r="S6" s="3">
        <v>3.92355830615412E-2</v>
      </c>
      <c r="T6" s="3">
        <v>0.12503096398567001</v>
      </c>
      <c r="U6" s="3">
        <v>0.111045532424823</v>
      </c>
      <c r="V6" s="3">
        <v>8.5225270114306695E-2</v>
      </c>
      <c r="W6" s="3">
        <v>3.7888220372174597E-2</v>
      </c>
      <c r="X6" s="4">
        <v>-4.0000000000000002E-4</v>
      </c>
      <c r="Y6" s="4">
        <v>-1E-4</v>
      </c>
      <c r="Z6" s="4">
        <v>1.2999999999999999E-3</v>
      </c>
      <c r="AA6" s="4">
        <v>-2.2000000000000001E-3</v>
      </c>
      <c r="AB6" s="4">
        <v>-1E-3</v>
      </c>
      <c r="AC6" s="4">
        <v>1E-4</v>
      </c>
      <c r="AD6" s="4">
        <v>2.0000000000000001E-4</v>
      </c>
      <c r="AE6" s="4">
        <v>1E-4</v>
      </c>
      <c r="AF6" s="4">
        <v>-2.7000000000000001E-3</v>
      </c>
      <c r="AG6" s="4">
        <v>1.6000000000000001E-3</v>
      </c>
      <c r="AH6" s="4">
        <v>-4.0000000000000002E-4</v>
      </c>
      <c r="AI6" s="4">
        <v>-1.2999999999999999E-3</v>
      </c>
      <c r="AJ6" s="4">
        <v>-4.4000000000000003E-3</v>
      </c>
      <c r="AK6" s="4">
        <v>2.2000000000000001E-3</v>
      </c>
      <c r="AL6" s="4">
        <f t="shared" si="1"/>
        <v>-7.000000000000001E-3</v>
      </c>
      <c r="AM6" s="4">
        <f t="shared" si="2"/>
        <v>4.4569054999999899E-4</v>
      </c>
    </row>
    <row r="7" spans="1:50" x14ac:dyDescent="0.2">
      <c r="A7" s="16">
        <v>44316</v>
      </c>
      <c r="B7" s="15">
        <v>2.0289851750000001E-2</v>
      </c>
      <c r="C7" s="11">
        <f t="shared" si="0"/>
        <v>1.9873185083333335E-2</v>
      </c>
      <c r="D7">
        <v>4.2500000000000003E-2</v>
      </c>
      <c r="E7">
        <v>7.3000000000000001E-3</v>
      </c>
      <c r="F7">
        <v>5.2900000000000003E-2</v>
      </c>
      <c r="G7">
        <v>2.4899999999999999E-2</v>
      </c>
      <c r="H7">
        <v>2.8400000000000002E-2</v>
      </c>
      <c r="I7">
        <v>3.1899999999999998E-2</v>
      </c>
      <c r="J7" s="3">
        <v>3.8989813992500497E-2</v>
      </c>
      <c r="K7" s="3">
        <v>1.6814848898452601E-2</v>
      </c>
      <c r="L7" s="3">
        <v>7.2933924566641301E-2</v>
      </c>
      <c r="M7" s="3">
        <v>3.4014426485380098E-2</v>
      </c>
      <c r="N7" s="3">
        <v>7.2945218134420897E-2</v>
      </c>
      <c r="O7" s="3">
        <v>0.20247363612910299</v>
      </c>
      <c r="P7" s="3">
        <v>3.5972657657205101E-2</v>
      </c>
      <c r="Q7" s="3">
        <v>6.7897354231683096E-2</v>
      </c>
      <c r="R7" s="3">
        <v>5.3663723161288999E-2</v>
      </c>
      <c r="S7" s="3">
        <v>5.4560775858718998E-2</v>
      </c>
      <c r="T7" s="3">
        <v>4.1815691617470001E-2</v>
      </c>
      <c r="U7" s="3">
        <v>0.15964113855669201</v>
      </c>
      <c r="V7" s="3">
        <v>8.1384538957229594E-2</v>
      </c>
      <c r="W7" s="3">
        <v>6.6892251753212298E-2</v>
      </c>
      <c r="X7" s="4">
        <v>3.3999999999999998E-3</v>
      </c>
      <c r="Y7" s="4">
        <v>1E-4</v>
      </c>
      <c r="Z7" s="4">
        <v>2.8E-3</v>
      </c>
      <c r="AA7" s="4">
        <v>8.0000000000000004E-4</v>
      </c>
      <c r="AB7" s="4">
        <v>2.8E-3</v>
      </c>
      <c r="AC7" s="4">
        <v>-4.0000000000000002E-4</v>
      </c>
      <c r="AD7" s="4">
        <v>1.5E-3</v>
      </c>
      <c r="AE7" s="4">
        <v>-1.2999999999999999E-3</v>
      </c>
      <c r="AF7" s="4">
        <v>8.0000000000000004E-4</v>
      </c>
      <c r="AG7" s="4">
        <v>2.7000000000000001E-3</v>
      </c>
      <c r="AH7" s="4">
        <v>8.0000000000000004E-4</v>
      </c>
      <c r="AI7" s="4">
        <v>1E-3</v>
      </c>
      <c r="AJ7" s="4">
        <v>2E-3</v>
      </c>
      <c r="AK7" s="4">
        <v>4.7000000000000002E-3</v>
      </c>
      <c r="AL7" s="4">
        <f t="shared" si="1"/>
        <v>2.1700000000000001E-2</v>
      </c>
      <c r="AM7" s="4">
        <f t="shared" si="2"/>
        <v>1.4101482499999998E-3</v>
      </c>
    </row>
    <row r="8" spans="1:50" x14ac:dyDescent="0.2">
      <c r="A8" s="16">
        <v>44347</v>
      </c>
      <c r="B8" s="15">
        <v>1.497747105E-2</v>
      </c>
      <c r="C8" s="11">
        <f t="shared" si="0"/>
        <v>1.4560804383333334E-2</v>
      </c>
      <c r="D8">
        <v>1.47E-2</v>
      </c>
      <c r="E8">
        <v>2E-3</v>
      </c>
      <c r="F8">
        <v>6.6E-3</v>
      </c>
      <c r="G8">
        <v>8.3999999999999995E-3</v>
      </c>
      <c r="H8">
        <v>9.5999999999999992E-3</v>
      </c>
      <c r="I8">
        <v>1.09E-2</v>
      </c>
      <c r="J8" s="3">
        <v>4.1078563454274297E-2</v>
      </c>
      <c r="K8" s="3">
        <v>1.9301442118844599E-2</v>
      </c>
      <c r="L8" s="3">
        <v>7.4596609045618698E-2</v>
      </c>
      <c r="M8" s="3">
        <v>3.1299476888425402E-2</v>
      </c>
      <c r="N8" s="3">
        <v>6.9831714271567202E-2</v>
      </c>
      <c r="O8" s="3">
        <v>0.19581681439218601</v>
      </c>
      <c r="P8" s="3">
        <v>3.9215587286382601E-2</v>
      </c>
      <c r="Q8" s="3">
        <v>7.5794228625832502E-2</v>
      </c>
      <c r="R8" s="3">
        <v>4.6938736840403297E-2</v>
      </c>
      <c r="S8" s="3">
        <v>6.1156203829072497E-2</v>
      </c>
      <c r="T8" s="3">
        <v>3.9933828285007099E-2</v>
      </c>
      <c r="U8" s="3">
        <v>0.15354107647366899</v>
      </c>
      <c r="V8" s="3">
        <v>7.3634843632033695E-2</v>
      </c>
      <c r="W8" s="3">
        <v>7.7860874856681694E-2</v>
      </c>
      <c r="X8" s="4">
        <v>1.5E-3</v>
      </c>
      <c r="Y8" s="4">
        <v>2.9999999999999997E-4</v>
      </c>
      <c r="Z8" s="4">
        <v>3.3999999999999998E-3</v>
      </c>
      <c r="AA8" s="4">
        <v>2.9999999999999997E-4</v>
      </c>
      <c r="AB8" s="4">
        <v>5.4000000000000003E-3</v>
      </c>
      <c r="AC8" s="4">
        <v>0</v>
      </c>
      <c r="AD8" s="4">
        <v>1.1999999999999999E-3</v>
      </c>
      <c r="AE8" s="4">
        <v>1.1999999999999999E-3</v>
      </c>
      <c r="AF8" s="4">
        <v>2.0000000000000001E-4</v>
      </c>
      <c r="AG8" s="4">
        <v>4.0000000000000002E-4</v>
      </c>
      <c r="AH8" s="4">
        <v>4.0000000000000002E-4</v>
      </c>
      <c r="AI8" s="4">
        <v>2.9999999999999997E-4</v>
      </c>
      <c r="AJ8" s="4">
        <v>0</v>
      </c>
      <c r="AK8" s="4">
        <v>8.0000000000000004E-4</v>
      </c>
      <c r="AL8" s="4">
        <f t="shared" si="1"/>
        <v>1.5399999999999999E-2</v>
      </c>
      <c r="AM8" s="4">
        <f t="shared" si="2"/>
        <v>4.2252894999999895E-4</v>
      </c>
    </row>
    <row r="9" spans="1:50" ht="57.5" customHeight="1" x14ac:dyDescent="0.2">
      <c r="A9" s="16">
        <v>44377</v>
      </c>
      <c r="B9" s="15">
        <v>3.57406988E-3</v>
      </c>
      <c r="C9" s="11">
        <f t="shared" si="0"/>
        <v>3.1574032133333332E-3</v>
      </c>
      <c r="D9">
        <v>1.26E-2</v>
      </c>
      <c r="E9">
        <v>8.3000000000000001E-3</v>
      </c>
      <c r="F9">
        <v>2.2499999999999999E-2</v>
      </c>
      <c r="G9">
        <v>1.04E-2</v>
      </c>
      <c r="H9">
        <v>1.09E-2</v>
      </c>
      <c r="I9">
        <v>1.1299999999999999E-2</v>
      </c>
      <c r="J9" s="3">
        <v>4.5644485119551798E-2</v>
      </c>
      <c r="K9" s="3">
        <v>1.7429250241295598E-2</v>
      </c>
      <c r="L9" s="3">
        <v>6.1848051913999003E-2</v>
      </c>
      <c r="M9" s="3">
        <v>3.4514716197424702E-2</v>
      </c>
      <c r="N9" s="3">
        <v>7.8644653853228802E-2</v>
      </c>
      <c r="O9" s="3">
        <v>0.19873585400171601</v>
      </c>
      <c r="P9" s="3">
        <v>3.0740354432847401E-2</v>
      </c>
      <c r="Q9" s="3">
        <v>5.9029290522567099E-2</v>
      </c>
      <c r="R9" s="3">
        <v>5.4567883211354397E-2</v>
      </c>
      <c r="S9" s="3">
        <v>5.7858330636584597E-2</v>
      </c>
      <c r="T9" s="3">
        <v>4.8468027446558697E-2</v>
      </c>
      <c r="U9" s="3">
        <v>0.16922625193331101</v>
      </c>
      <c r="V9" s="3">
        <v>7.5103283744272303E-2</v>
      </c>
      <c r="W9" s="3">
        <v>6.8189566745287297E-2</v>
      </c>
      <c r="X9" s="4">
        <v>1.5E-3</v>
      </c>
      <c r="Y9" s="4">
        <v>2.0000000000000001E-4</v>
      </c>
      <c r="Z9" s="4">
        <v>-8.0000000000000004E-4</v>
      </c>
      <c r="AA9" s="4">
        <v>-5.9999999999999995E-4</v>
      </c>
      <c r="AB9" s="4">
        <v>-5.5999999999999999E-3</v>
      </c>
      <c r="AC9" s="4">
        <v>6.9999999999999999E-4</v>
      </c>
      <c r="AD9" s="4">
        <v>-1E-4</v>
      </c>
      <c r="AE9" s="4">
        <v>-5.9999999999999995E-4</v>
      </c>
      <c r="AF9" s="4">
        <v>5.9999999999999995E-4</v>
      </c>
      <c r="AG9" s="4">
        <v>1.2999999999999999E-3</v>
      </c>
      <c r="AH9" s="4">
        <v>2.9999999999999997E-4</v>
      </c>
      <c r="AI9" s="4">
        <v>1.4E-3</v>
      </c>
      <c r="AJ9" s="4">
        <v>3.3E-3</v>
      </c>
      <c r="AK9" s="4">
        <v>1.6999999999999999E-3</v>
      </c>
      <c r="AL9" s="4">
        <f t="shared" si="1"/>
        <v>3.2999999999999995E-3</v>
      </c>
      <c r="AM9" s="4">
        <f t="shared" si="2"/>
        <v>-2.7406988000000044E-4</v>
      </c>
    </row>
    <row r="10" spans="1:50" x14ac:dyDescent="0.2">
      <c r="A10" s="16">
        <v>44408</v>
      </c>
      <c r="B10" s="15">
        <v>1.759880606E-2</v>
      </c>
      <c r="C10" s="11">
        <f t="shared" si="0"/>
        <v>1.7182139393333334E-2</v>
      </c>
      <c r="D10">
        <v>9.1000000000000004E-3</v>
      </c>
      <c r="E10">
        <v>1.12E-2</v>
      </c>
      <c r="F10">
        <v>2.4400000000000002E-2</v>
      </c>
      <c r="G10">
        <v>1.01E-2</v>
      </c>
      <c r="H10">
        <v>9.9000000000000008E-3</v>
      </c>
      <c r="I10">
        <v>9.7000000000000003E-3</v>
      </c>
      <c r="J10" s="3">
        <v>4.7841975761316699E-2</v>
      </c>
      <c r="K10" s="3">
        <v>1.88706294933483E-2</v>
      </c>
      <c r="L10" s="3">
        <v>5.6351794535603399E-2</v>
      </c>
      <c r="M10" s="3">
        <v>3.8740655431949801E-2</v>
      </c>
      <c r="N10" s="3">
        <v>5.9821383889377001E-2</v>
      </c>
      <c r="O10" s="3">
        <v>0.20641798088172</v>
      </c>
      <c r="P10" s="3">
        <v>2.1358188811798601E-2</v>
      </c>
      <c r="Q10" s="3">
        <v>5.3203692675098599E-2</v>
      </c>
      <c r="R10" s="3">
        <v>5.2483796576497099E-2</v>
      </c>
      <c r="S10" s="3">
        <v>6.4151001070177696E-2</v>
      </c>
      <c r="T10" s="3">
        <v>6.1955228152780699E-2</v>
      </c>
      <c r="U10" s="3">
        <v>0.17589339502646301</v>
      </c>
      <c r="V10" s="3">
        <v>8.0819649862484896E-2</v>
      </c>
      <c r="W10" s="3">
        <v>6.2090627831383402E-2</v>
      </c>
      <c r="X10" s="4">
        <v>5.9999999999999995E-4</v>
      </c>
      <c r="Y10" s="4">
        <v>-1.1999999999999999E-3</v>
      </c>
      <c r="Z10" s="4">
        <v>8.9999999999999998E-4</v>
      </c>
      <c r="AA10" s="4">
        <v>5.0000000000000001E-4</v>
      </c>
      <c r="AB10" s="4">
        <v>1.6000000000000001E-3</v>
      </c>
      <c r="AC10" s="4">
        <v>3.0999999999999999E-3</v>
      </c>
      <c r="AD10" s="4">
        <v>6.9999999999999999E-4</v>
      </c>
      <c r="AE10" s="4">
        <v>-2.9999999999999997E-4</v>
      </c>
      <c r="AF10" s="4">
        <v>1E-3</v>
      </c>
      <c r="AG10" s="4">
        <v>1.5E-3</v>
      </c>
      <c r="AH10" s="4">
        <v>1.6000000000000001E-3</v>
      </c>
      <c r="AI10" s="4">
        <v>2E-3</v>
      </c>
      <c r="AJ10" s="4">
        <v>3.0000000000000001E-3</v>
      </c>
      <c r="AK10" s="4">
        <v>2.8999999999999998E-3</v>
      </c>
      <c r="AL10" s="4">
        <f t="shared" si="1"/>
        <v>1.7899999999999999E-2</v>
      </c>
      <c r="AM10" s="4">
        <f t="shared" si="2"/>
        <v>3.0119393999999966E-4</v>
      </c>
    </row>
    <row r="11" spans="1:50" x14ac:dyDescent="0.2">
      <c r="A11" s="16">
        <v>44439</v>
      </c>
      <c r="B11" s="15">
        <v>1.8717393300000001E-3</v>
      </c>
      <c r="C11" s="11">
        <f t="shared" si="0"/>
        <v>1.4550726633333333E-3</v>
      </c>
      <c r="D11">
        <v>2.1700000000000001E-2</v>
      </c>
      <c r="E11">
        <v>-2E-3</v>
      </c>
      <c r="F11">
        <v>2.98E-2</v>
      </c>
      <c r="G11">
        <v>9.9000000000000008E-3</v>
      </c>
      <c r="H11">
        <v>1.2200000000000001E-2</v>
      </c>
      <c r="I11">
        <v>1.46E-2</v>
      </c>
      <c r="J11" s="3">
        <v>3.6539598589319502E-2</v>
      </c>
      <c r="K11" s="3">
        <v>1.4289600181775599E-2</v>
      </c>
      <c r="L11" s="3">
        <v>5.0803742204006901E-2</v>
      </c>
      <c r="M11" s="3">
        <v>4.1142896047567601E-2</v>
      </c>
      <c r="N11" s="3">
        <v>7.1898553789608396E-2</v>
      </c>
      <c r="O11" s="3">
        <v>0.23879266860837101</v>
      </c>
      <c r="P11" s="3">
        <v>1.69755689782497E-2</v>
      </c>
      <c r="Q11" s="3">
        <v>4.4746111064455897E-2</v>
      </c>
      <c r="R11" s="3">
        <v>5.7628965196832999E-2</v>
      </c>
      <c r="S11" s="3">
        <v>5.5663256730718903E-2</v>
      </c>
      <c r="T11" s="3">
        <v>6.6775879689228296E-2</v>
      </c>
      <c r="U11" s="3">
        <v>0.166264036325106</v>
      </c>
      <c r="V11" s="3">
        <v>8.6475605987396301E-2</v>
      </c>
      <c r="W11" s="3">
        <v>5.2003516607360703E-2</v>
      </c>
      <c r="X11" s="4">
        <v>-6.9999999999999999E-4</v>
      </c>
      <c r="Y11" s="4">
        <v>2.0000000000000001E-4</v>
      </c>
      <c r="Z11" s="4">
        <v>8.0000000000000004E-4</v>
      </c>
      <c r="AA11" s="4">
        <v>-4.0000000000000002E-4</v>
      </c>
      <c r="AB11" s="4">
        <v>0</v>
      </c>
      <c r="AC11" s="4">
        <v>-1.1000000000000001E-3</v>
      </c>
      <c r="AD11" s="4">
        <v>1E-4</v>
      </c>
      <c r="AE11" s="4">
        <v>8.9999999999999998E-4</v>
      </c>
      <c r="AF11" s="4">
        <v>-2.0000000000000001E-4</v>
      </c>
      <c r="AG11" s="4">
        <v>1.6999999999999999E-3</v>
      </c>
      <c r="AH11" s="4">
        <v>-1E-4</v>
      </c>
      <c r="AI11" s="4">
        <v>-2.9999999999999997E-4</v>
      </c>
      <c r="AJ11" s="4">
        <v>-2.9999999999999997E-4</v>
      </c>
      <c r="AK11" s="4">
        <v>1E-3</v>
      </c>
      <c r="AL11" s="4">
        <f t="shared" si="1"/>
        <v>1.6000000000000001E-3</v>
      </c>
      <c r="AM11" s="4">
        <f t="shared" si="2"/>
        <v>-2.7173932999999999E-4</v>
      </c>
    </row>
    <row r="12" spans="1:50" x14ac:dyDescent="0.2">
      <c r="A12" s="16">
        <v>44469</v>
      </c>
      <c r="B12" s="15">
        <v>-1.8553412370000001E-2</v>
      </c>
      <c r="C12" s="11">
        <f t="shared" ref="C12:C43" si="3">+B12-$E$1/12</f>
        <v>-1.8970079036666667E-2</v>
      </c>
      <c r="D12">
        <v>-4.2299999999999997E-2</v>
      </c>
      <c r="E12">
        <v>-9.1999999999999998E-3</v>
      </c>
      <c r="F12">
        <v>-4.6600000000000003E-2</v>
      </c>
      <c r="G12">
        <v>-2.5700000000000001E-2</v>
      </c>
      <c r="H12">
        <v>-2.9000000000000001E-2</v>
      </c>
      <c r="I12">
        <v>-3.2300000000000002E-2</v>
      </c>
      <c r="J12" s="3">
        <v>2.3898208738037399E-2</v>
      </c>
      <c r="K12" s="3">
        <v>1.8357276985432099E-2</v>
      </c>
      <c r="L12" s="3">
        <v>6.06835417363168E-2</v>
      </c>
      <c r="M12" s="3">
        <v>2.86295230423632E-2</v>
      </c>
      <c r="N12" s="3">
        <v>5.4123486278801897E-2</v>
      </c>
      <c r="O12" s="3">
        <v>0.23991394997536</v>
      </c>
      <c r="P12" s="3">
        <v>1.62628868706838E-2</v>
      </c>
      <c r="Q12" s="3">
        <v>5.7585460029852098E-2</v>
      </c>
      <c r="R12" s="3">
        <v>4.9602568068653402E-2</v>
      </c>
      <c r="S12" s="3">
        <v>7.9135690900997702E-2</v>
      </c>
      <c r="T12" s="3">
        <v>4.0286047620036902E-2</v>
      </c>
      <c r="U12" s="3">
        <v>0.17709971234588401</v>
      </c>
      <c r="V12" s="3">
        <v>9.1147895575431695E-2</v>
      </c>
      <c r="W12" s="3">
        <v>6.3273751832147201E-2</v>
      </c>
      <c r="X12" s="4">
        <v>1.1999999999999999E-3</v>
      </c>
      <c r="Y12" s="4">
        <v>-8.0000000000000004E-4</v>
      </c>
      <c r="Z12" s="4">
        <v>-3.2000000000000002E-3</v>
      </c>
      <c r="AA12" s="4">
        <v>-5.9999999999999995E-4</v>
      </c>
      <c r="AB12" s="4">
        <v>-1.6999999999999999E-3</v>
      </c>
      <c r="AC12" s="4">
        <v>-2.5999999999999999E-3</v>
      </c>
      <c r="AD12" s="4">
        <v>-1E-3</v>
      </c>
      <c r="AE12" s="4">
        <v>1.2999999999999999E-3</v>
      </c>
      <c r="AF12" s="4">
        <v>-8.0000000000000004E-4</v>
      </c>
      <c r="AG12" s="4">
        <v>-3.7000000000000002E-3</v>
      </c>
      <c r="AH12" s="4">
        <v>-2.9999999999999997E-4</v>
      </c>
      <c r="AI12" s="4">
        <v>-1.6000000000000001E-3</v>
      </c>
      <c r="AJ12" s="4">
        <v>-2.7000000000000001E-3</v>
      </c>
      <c r="AK12" s="4">
        <v>-3.7000000000000002E-3</v>
      </c>
      <c r="AL12" s="4">
        <f t="shared" si="1"/>
        <v>-2.0200000000000003E-2</v>
      </c>
      <c r="AM12" s="4">
        <f t="shared" si="2"/>
        <v>-1.6465876300000015E-3</v>
      </c>
    </row>
    <row r="13" spans="1:50" x14ac:dyDescent="0.2">
      <c r="A13" s="16">
        <v>44500</v>
      </c>
      <c r="B13" s="15">
        <v>1.3402633319999999E-2</v>
      </c>
      <c r="C13" s="11">
        <f t="shared" si="3"/>
        <v>1.2985966653333333E-2</v>
      </c>
      <c r="D13">
        <v>5.3900000000000003E-2</v>
      </c>
      <c r="E13">
        <v>-1E-4</v>
      </c>
      <c r="F13">
        <v>7.0199999999999999E-2</v>
      </c>
      <c r="G13">
        <v>2.69E-2</v>
      </c>
      <c r="H13">
        <v>3.2300000000000002E-2</v>
      </c>
      <c r="I13">
        <v>3.7699999999999997E-2</v>
      </c>
      <c r="J13" s="3">
        <v>3.08916469340123E-2</v>
      </c>
      <c r="K13" s="3">
        <v>2.1090968531539502E-2</v>
      </c>
      <c r="L13" s="3">
        <v>5.3911891569103698E-2</v>
      </c>
      <c r="M13" s="3">
        <v>3.3000747987129798E-2</v>
      </c>
      <c r="N13" s="3">
        <v>6.7095244351665695E-2</v>
      </c>
      <c r="O13" s="3">
        <v>0.24618020257373199</v>
      </c>
      <c r="P13" s="3">
        <v>2.0060816987549801E-2</v>
      </c>
      <c r="Q13" s="3">
        <v>5.4809020564252402E-2</v>
      </c>
      <c r="R13" s="3">
        <v>4.9807325203091397E-2</v>
      </c>
      <c r="S13" s="3">
        <v>7.2564479646953103E-2</v>
      </c>
      <c r="T13" s="3">
        <v>5.08732737935138E-2</v>
      </c>
      <c r="U13" s="3">
        <v>0.16843899227086001</v>
      </c>
      <c r="V13" s="3">
        <v>6.9736497519938698E-2</v>
      </c>
      <c r="W13" s="3">
        <v>6.1538892066656102E-2</v>
      </c>
      <c r="X13" s="4">
        <v>1.6999999999999999E-3</v>
      </c>
      <c r="Y13" s="4">
        <v>2.0000000000000001E-4</v>
      </c>
      <c r="Z13" s="4">
        <v>2.8E-3</v>
      </c>
      <c r="AA13" s="4">
        <v>-2.0000000000000001E-4</v>
      </c>
      <c r="AB13" s="4">
        <v>1E-3</v>
      </c>
      <c r="AC13" s="4">
        <v>-1.1000000000000001E-3</v>
      </c>
      <c r="AD13" s="4">
        <v>5.9999999999999995E-4</v>
      </c>
      <c r="AE13" s="4">
        <v>-1.5E-3</v>
      </c>
      <c r="AF13" s="4">
        <v>-2.0000000000000001E-4</v>
      </c>
      <c r="AG13" s="4">
        <v>5.1000000000000004E-3</v>
      </c>
      <c r="AH13" s="4">
        <v>5.0000000000000001E-4</v>
      </c>
      <c r="AI13" s="4">
        <v>0</v>
      </c>
      <c r="AJ13" s="4">
        <v>1.9E-3</v>
      </c>
      <c r="AK13" s="4">
        <v>4.4000000000000003E-3</v>
      </c>
      <c r="AL13" s="4">
        <f t="shared" si="1"/>
        <v>1.5200000000000002E-2</v>
      </c>
      <c r="AM13" s="4">
        <f t="shared" si="2"/>
        <v>1.7973666800000024E-3</v>
      </c>
    </row>
    <row r="14" spans="1:50" x14ac:dyDescent="0.2">
      <c r="A14" s="16">
        <v>44530</v>
      </c>
      <c r="B14" s="15">
        <v>-7.0759256400000003E-3</v>
      </c>
      <c r="C14" s="11">
        <f t="shared" si="3"/>
        <v>-7.4925923066666671E-3</v>
      </c>
      <c r="D14">
        <v>-2.3099999999999999E-2</v>
      </c>
      <c r="E14">
        <v>2.7000000000000001E-3</v>
      </c>
      <c r="F14">
        <v>-8.0000000000000002E-3</v>
      </c>
      <c r="G14">
        <v>-1.0200000000000001E-2</v>
      </c>
      <c r="H14">
        <v>-1.2800000000000001E-2</v>
      </c>
      <c r="I14">
        <v>-1.5299999999999999E-2</v>
      </c>
      <c r="J14" s="3">
        <v>3.8964386163835497E-2</v>
      </c>
      <c r="K14" s="3">
        <v>2.4892257101788801E-2</v>
      </c>
      <c r="L14" s="3">
        <v>6.4747265372047794E-2</v>
      </c>
      <c r="M14" s="3">
        <v>3.10690783938877E-2</v>
      </c>
      <c r="N14" s="3">
        <v>6.7263316003229795E-2</v>
      </c>
      <c r="O14" s="3">
        <v>0.212155070157269</v>
      </c>
      <c r="P14" s="3">
        <v>2.6473535140189099E-2</v>
      </c>
      <c r="Q14" s="3">
        <v>6.7133540619858004E-2</v>
      </c>
      <c r="R14" s="3">
        <v>4.7494190724458603E-2</v>
      </c>
      <c r="S14" s="3">
        <v>7.84980661910918E-2</v>
      </c>
      <c r="T14" s="3">
        <v>4.78219226909741E-2</v>
      </c>
      <c r="U14" s="3">
        <v>0.159317809723001</v>
      </c>
      <c r="V14" s="3">
        <v>6.2330308027873101E-2</v>
      </c>
      <c r="W14" s="3">
        <v>7.1839253690494001E-2</v>
      </c>
      <c r="X14" s="4">
        <v>-3.3999999999999998E-3</v>
      </c>
      <c r="Y14" s="4">
        <v>-1E-3</v>
      </c>
      <c r="Z14" s="4">
        <v>-3.0999999999999999E-3</v>
      </c>
      <c r="AA14" s="4">
        <v>-2.0000000000000001E-4</v>
      </c>
      <c r="AB14" s="4">
        <v>-5.0000000000000001E-4</v>
      </c>
      <c r="AC14" s="4">
        <v>2.2000000000000001E-3</v>
      </c>
      <c r="AD14" s="4">
        <v>-1E-3</v>
      </c>
      <c r="AE14" s="4">
        <v>-2.2000000000000001E-3</v>
      </c>
      <c r="AF14" s="4">
        <v>5.0000000000000001E-4</v>
      </c>
      <c r="AG14" s="4">
        <v>-5.9999999999999995E-4</v>
      </c>
      <c r="AH14" s="4">
        <v>4.0000000000000002E-4</v>
      </c>
      <c r="AI14" s="4">
        <v>4.0000000000000002E-4</v>
      </c>
      <c r="AJ14" s="4">
        <v>1.6999999999999999E-3</v>
      </c>
      <c r="AK14" s="4">
        <v>-1.6999999999999999E-3</v>
      </c>
      <c r="AL14" s="4">
        <f t="shared" si="1"/>
        <v>-8.4999999999999989E-3</v>
      </c>
      <c r="AM14" s="4">
        <f t="shared" si="2"/>
        <v>-1.4240743599999986E-3</v>
      </c>
    </row>
    <row r="15" spans="1:50" x14ac:dyDescent="0.2">
      <c r="A15" s="16">
        <v>44561</v>
      </c>
      <c r="B15" s="15">
        <v>1.6256336520000001E-2</v>
      </c>
      <c r="C15" s="11">
        <f t="shared" si="3"/>
        <v>1.5839669853333335E-2</v>
      </c>
      <c r="D15">
        <v>3.9E-2</v>
      </c>
      <c r="E15">
        <v>-3.5999999999999999E-3</v>
      </c>
      <c r="F15">
        <v>4.6300000000000001E-2</v>
      </c>
      <c r="G15">
        <v>1.77E-2</v>
      </c>
      <c r="H15">
        <v>2.1999999999999999E-2</v>
      </c>
      <c r="I15">
        <v>2.6200000000000001E-2</v>
      </c>
      <c r="J15" s="3">
        <v>4.0147634085160498E-2</v>
      </c>
      <c r="K15" s="3">
        <v>2.7056492271358399E-2</v>
      </c>
      <c r="L15" s="3">
        <v>6.3492498143226495E-2</v>
      </c>
      <c r="M15" s="3">
        <v>3.3081044446769403E-2</v>
      </c>
      <c r="N15" s="3">
        <v>8.7414911168242806E-2</v>
      </c>
      <c r="O15" s="3">
        <v>0.20616231643878399</v>
      </c>
      <c r="P15" s="3">
        <v>2.7195671084563101E-2</v>
      </c>
      <c r="Q15" s="3">
        <v>6.5275957782174293E-2</v>
      </c>
      <c r="R15" s="3">
        <v>4.9431139140154803E-2</v>
      </c>
      <c r="S15" s="3">
        <v>7.1662801689990105E-2</v>
      </c>
      <c r="T15" s="3">
        <v>4.8220835342011097E-2</v>
      </c>
      <c r="U15" s="3">
        <v>0.15059079188876501</v>
      </c>
      <c r="V15" s="3">
        <v>6.6066688525251396E-2</v>
      </c>
      <c r="W15" s="3">
        <v>6.4201217993546902E-2</v>
      </c>
      <c r="X15" s="4">
        <v>2.7000000000000001E-3</v>
      </c>
      <c r="Y15" s="4">
        <v>4.0000000000000002E-4</v>
      </c>
      <c r="Z15" s="4">
        <v>3.5000000000000001E-3</v>
      </c>
      <c r="AA15" s="4">
        <v>-1E-4</v>
      </c>
      <c r="AB15" s="4">
        <v>2.8E-3</v>
      </c>
      <c r="AC15" s="4">
        <v>-1.5E-3</v>
      </c>
      <c r="AD15" s="4">
        <v>1E-3</v>
      </c>
      <c r="AE15" s="4">
        <v>1.5E-3</v>
      </c>
      <c r="AF15" s="4">
        <v>-2.9999999999999997E-4</v>
      </c>
      <c r="AG15" s="4">
        <v>3.3E-3</v>
      </c>
      <c r="AH15" s="4">
        <v>2.0000000000000001E-4</v>
      </c>
      <c r="AI15" s="4">
        <v>-5.0000000000000001E-4</v>
      </c>
      <c r="AJ15" s="4">
        <v>-1.2999999999999999E-3</v>
      </c>
      <c r="AK15" s="4">
        <v>6.0000000000000001E-3</v>
      </c>
      <c r="AL15" s="4">
        <f t="shared" si="1"/>
        <v>1.77E-2</v>
      </c>
      <c r="AM15" s="4">
        <f t="shared" si="2"/>
        <v>1.4436634799999994E-3</v>
      </c>
    </row>
    <row r="16" spans="1:50" x14ac:dyDescent="0.2">
      <c r="A16" s="16">
        <v>44592</v>
      </c>
      <c r="B16" s="15">
        <v>-2.408219138E-2</v>
      </c>
      <c r="C16" s="11">
        <f t="shared" si="3"/>
        <v>-2.4498858046666665E-2</v>
      </c>
      <c r="D16">
        <v>-4.5499999999999999E-2</v>
      </c>
      <c r="E16">
        <v>-0.02</v>
      </c>
      <c r="F16">
        <v>-5.2699999999999997E-2</v>
      </c>
      <c r="G16">
        <v>-3.27E-2</v>
      </c>
      <c r="H16">
        <v>-3.5299999999999998E-2</v>
      </c>
      <c r="I16">
        <v>-3.78E-2</v>
      </c>
      <c r="J16" s="3">
        <v>3.10933168157718E-2</v>
      </c>
      <c r="K16" s="3">
        <v>2.2760005335830901E-2</v>
      </c>
      <c r="L16" s="3">
        <v>6.3969627495511397E-2</v>
      </c>
      <c r="M16" s="3">
        <v>3.2892440661568101E-2</v>
      </c>
      <c r="N16" s="3">
        <v>9.8717499368687803E-2</v>
      </c>
      <c r="O16" s="3">
        <v>0.21253717778293499</v>
      </c>
      <c r="P16" s="3">
        <v>2.4589864589908202E-2</v>
      </c>
      <c r="Q16" s="3">
        <v>5.7899218529945701E-2</v>
      </c>
      <c r="R16" s="3">
        <v>6.3882695240935303E-2</v>
      </c>
      <c r="S16" s="3">
        <v>5.8156103819364903E-2</v>
      </c>
      <c r="T16" s="3">
        <v>4.2371700408845102E-2</v>
      </c>
      <c r="U16" s="3">
        <v>0.15567450479608999</v>
      </c>
      <c r="V16" s="3">
        <v>8.2051320197559202E-2</v>
      </c>
      <c r="W16" s="3">
        <v>5.3404524957045299E-2</v>
      </c>
      <c r="X16" s="4">
        <v>2.5000000000000001E-3</v>
      </c>
      <c r="Y16" s="4">
        <v>0</v>
      </c>
      <c r="Z16" s="4">
        <v>-1.9E-3</v>
      </c>
      <c r="AA16" s="4">
        <v>-8.9999999999999998E-4</v>
      </c>
      <c r="AB16" s="4">
        <v>-1.5E-3</v>
      </c>
      <c r="AC16" s="4">
        <v>-2.8999999999999998E-3</v>
      </c>
      <c r="AD16" s="4">
        <v>-1.1000000000000001E-3</v>
      </c>
      <c r="AE16" s="4">
        <v>-2.5000000000000001E-3</v>
      </c>
      <c r="AF16" s="4">
        <v>-1.1999999999999999E-3</v>
      </c>
      <c r="AG16" s="4">
        <v>-3.0000000000000001E-3</v>
      </c>
      <c r="AH16" s="4">
        <v>-8.9999999999999998E-4</v>
      </c>
      <c r="AI16" s="4">
        <v>-3.0999999999999999E-3</v>
      </c>
      <c r="AJ16" s="4">
        <v>-2.7000000000000001E-3</v>
      </c>
      <c r="AK16" s="4">
        <v>-4.5999999999999999E-3</v>
      </c>
      <c r="AL16" s="4">
        <f t="shared" si="1"/>
        <v>-2.3800000000000002E-2</v>
      </c>
      <c r="AM16" s="4">
        <f t="shared" si="2"/>
        <v>2.8219137999999783E-4</v>
      </c>
    </row>
    <row r="17" spans="1:39" x14ac:dyDescent="0.2">
      <c r="A17" s="16">
        <v>44620</v>
      </c>
      <c r="B17" s="15">
        <v>-5.8631674E-3</v>
      </c>
      <c r="C17" s="11">
        <f t="shared" si="3"/>
        <v>-6.2798340666666667E-3</v>
      </c>
      <c r="D17">
        <v>-3.0599999999999999E-2</v>
      </c>
      <c r="E17">
        <v>-1.15E-2</v>
      </c>
      <c r="F17">
        <v>-2.9499999999999998E-2</v>
      </c>
      <c r="G17">
        <v>-2.1000000000000001E-2</v>
      </c>
      <c r="H17">
        <v>-2.29E-2</v>
      </c>
      <c r="I17">
        <v>-2.4899999999999999E-2</v>
      </c>
      <c r="J17" s="3">
        <v>3.86053790630181E-2</v>
      </c>
      <c r="K17" s="3">
        <v>1.91307192704613E-2</v>
      </c>
      <c r="L17" s="3">
        <v>6.8556831978862906E-2</v>
      </c>
      <c r="M17" s="3">
        <v>3.3920990622111E-2</v>
      </c>
      <c r="N17" s="3">
        <v>9.6394668051352606E-2</v>
      </c>
      <c r="O17" s="3">
        <v>0.235923993796232</v>
      </c>
      <c r="P17" s="3">
        <v>2.6304276810455801E-2</v>
      </c>
      <c r="Q17" s="3">
        <v>5.8155360075570803E-2</v>
      </c>
      <c r="R17" s="3">
        <v>5.7580506999762499E-2</v>
      </c>
      <c r="S17" s="3">
        <v>5.1887000154740598E-2</v>
      </c>
      <c r="T17" s="3">
        <v>4.2091330051383803E-2</v>
      </c>
      <c r="U17" s="3">
        <v>0.14097257195302601</v>
      </c>
      <c r="V17" s="3">
        <v>8.2618054073774302E-2</v>
      </c>
      <c r="W17" s="3">
        <v>4.7858317099247198E-2</v>
      </c>
      <c r="X17" s="4">
        <v>2.5000000000000001E-3</v>
      </c>
      <c r="Y17" s="4">
        <v>-8.0000000000000004E-4</v>
      </c>
      <c r="Z17" s="4">
        <v>-3.3999999999999998E-3</v>
      </c>
      <c r="AA17" s="4">
        <v>-4.0000000000000002E-4</v>
      </c>
      <c r="AB17" s="4">
        <v>6.0000000000000001E-3</v>
      </c>
      <c r="AC17" s="4">
        <v>-2.8999999999999998E-3</v>
      </c>
      <c r="AD17" s="4">
        <v>-4.0000000000000002E-4</v>
      </c>
      <c r="AE17" s="4">
        <v>-1E-3</v>
      </c>
      <c r="AF17" s="4">
        <v>-2.0000000000000001E-4</v>
      </c>
      <c r="AG17" s="4">
        <v>-1.5E-3</v>
      </c>
      <c r="AH17" s="4">
        <v>4.0000000000000002E-4</v>
      </c>
      <c r="AI17" s="4">
        <v>-1.6000000000000001E-3</v>
      </c>
      <c r="AJ17" s="4">
        <v>-1.2999999999999999E-3</v>
      </c>
      <c r="AK17" s="4">
        <v>-2.2000000000000001E-3</v>
      </c>
      <c r="AL17" s="4">
        <f t="shared" si="1"/>
        <v>-6.8000000000000005E-3</v>
      </c>
      <c r="AM17" s="4">
        <f t="shared" si="2"/>
        <v>-9.3683260000000049E-4</v>
      </c>
    </row>
    <row r="18" spans="1:39" x14ac:dyDescent="0.2">
      <c r="A18" s="16">
        <v>44651</v>
      </c>
      <c r="B18" s="15">
        <v>-6.0287005500000001E-3</v>
      </c>
      <c r="C18" s="11">
        <f t="shared" si="3"/>
        <v>-6.4453672166666668E-3</v>
      </c>
      <c r="D18">
        <v>1.9400000000000001E-2</v>
      </c>
      <c r="E18">
        <v>-2.81E-2</v>
      </c>
      <c r="F18">
        <v>3.7600000000000001E-2</v>
      </c>
      <c r="G18">
        <v>-4.4000000000000003E-3</v>
      </c>
      <c r="H18">
        <v>4.0000000000000002E-4</v>
      </c>
      <c r="I18">
        <v>5.1000000000000004E-3</v>
      </c>
      <c r="J18" s="3">
        <v>6.49273520116391E-2</v>
      </c>
      <c r="K18" s="3">
        <v>2.2021905248025501E-2</v>
      </c>
      <c r="L18" s="3">
        <v>5.9783996586552299E-2</v>
      </c>
      <c r="M18" s="3">
        <v>5.0310670619744001E-2</v>
      </c>
      <c r="N18" s="3">
        <v>0.117634126205649</v>
      </c>
      <c r="O18" s="3">
        <v>0.200655736197414</v>
      </c>
      <c r="P18" s="3">
        <v>2.7504532634296201E-2</v>
      </c>
      <c r="Q18" s="3">
        <v>5.6841345063144602E-2</v>
      </c>
      <c r="R18" s="3">
        <v>5.0959493548093697E-2</v>
      </c>
      <c r="S18" s="3">
        <v>4.7886831936740197E-2</v>
      </c>
      <c r="T18" s="3">
        <v>4.7191173424293201E-2</v>
      </c>
      <c r="U18" s="3">
        <v>0.12746388548408299</v>
      </c>
      <c r="V18" s="3">
        <v>8.31834986061952E-2</v>
      </c>
      <c r="W18" s="3">
        <v>4.3635452434128703E-2</v>
      </c>
      <c r="X18" s="4">
        <v>4.7999999999999996E-3</v>
      </c>
      <c r="Y18" s="4">
        <v>-6.9999999999999999E-4</v>
      </c>
      <c r="Z18" s="4">
        <v>1E-4</v>
      </c>
      <c r="AA18" s="4">
        <v>-2.0999999999999999E-3</v>
      </c>
      <c r="AB18" s="4">
        <v>1.1000000000000001E-3</v>
      </c>
      <c r="AC18" s="4">
        <v>-4.1000000000000003E-3</v>
      </c>
      <c r="AD18" s="4">
        <v>6.9999999999999999E-4</v>
      </c>
      <c r="AE18" s="4">
        <v>-1.1999999999999999E-3</v>
      </c>
      <c r="AF18" s="4">
        <v>-2E-3</v>
      </c>
      <c r="AG18" s="4">
        <v>1.9E-3</v>
      </c>
      <c r="AH18" s="4">
        <v>-8.9999999999999998E-4</v>
      </c>
      <c r="AI18" s="4">
        <v>-3.5000000000000001E-3</v>
      </c>
      <c r="AJ18" s="4">
        <v>-4.4999999999999997E-3</v>
      </c>
      <c r="AK18" s="4">
        <v>3.0999999999999999E-3</v>
      </c>
      <c r="AL18" s="4">
        <f t="shared" si="1"/>
        <v>-7.2999999999999992E-3</v>
      </c>
      <c r="AM18" s="4">
        <f t="shared" si="2"/>
        <v>-1.2712994499999991E-3</v>
      </c>
    </row>
    <row r="19" spans="1:39" x14ac:dyDescent="0.2">
      <c r="A19" s="16">
        <v>44681</v>
      </c>
      <c r="B19" s="15">
        <v>-4.5422416180000001E-2</v>
      </c>
      <c r="C19" s="11">
        <f t="shared" si="3"/>
        <v>-4.5839082846666671E-2</v>
      </c>
      <c r="D19">
        <v>-8.0699999999999994E-2</v>
      </c>
      <c r="E19">
        <v>-3.8100000000000002E-2</v>
      </c>
      <c r="F19">
        <v>-8.7800000000000003E-2</v>
      </c>
      <c r="G19">
        <v>-5.9400000000000001E-2</v>
      </c>
      <c r="H19">
        <v>-6.3600000000000004E-2</v>
      </c>
      <c r="I19">
        <v>-6.7900000000000002E-2</v>
      </c>
      <c r="J19" s="3">
        <v>5.3198778303063701E-2</v>
      </c>
      <c r="K19" s="3">
        <v>1.9414690314350402E-2</v>
      </c>
      <c r="L19" s="3">
        <v>6.5063816839263502E-2</v>
      </c>
      <c r="M19" s="3">
        <v>5.7760454144803797E-2</v>
      </c>
      <c r="N19" s="3">
        <v>0.113890231561874</v>
      </c>
      <c r="O19" s="3">
        <v>0.16891985675514001</v>
      </c>
      <c r="P19" s="3">
        <v>3.1830711161998697E-2</v>
      </c>
      <c r="Q19" s="3">
        <v>6.7081385362895901E-2</v>
      </c>
      <c r="R19" s="3">
        <v>4.12781615218831E-2</v>
      </c>
      <c r="S19" s="3">
        <v>6.1550712898380197E-2</v>
      </c>
      <c r="T19" s="3">
        <v>3.6290892209130197E-2</v>
      </c>
      <c r="U19" s="3">
        <v>0.134552613136143</v>
      </c>
      <c r="V19" s="3">
        <v>8.4334921075329597E-2</v>
      </c>
      <c r="W19" s="3">
        <v>6.4832774715741906E-2</v>
      </c>
      <c r="X19" s="4">
        <v>3.0999999999999999E-3</v>
      </c>
      <c r="Y19" s="4">
        <v>-1.1000000000000001E-3</v>
      </c>
      <c r="Z19" s="4">
        <v>-4.1000000000000003E-3</v>
      </c>
      <c r="AA19" s="4">
        <v>-4.1000000000000003E-3</v>
      </c>
      <c r="AB19" s="4">
        <v>-2.5000000000000001E-3</v>
      </c>
      <c r="AC19" s="4">
        <v>-5.1999999999999998E-3</v>
      </c>
      <c r="AD19" s="4">
        <v>-2.2000000000000001E-3</v>
      </c>
      <c r="AE19" s="4">
        <v>-5.4999999999999997E-3</v>
      </c>
      <c r="AF19" s="4">
        <v>-1.8E-3</v>
      </c>
      <c r="AG19" s="4">
        <v>-5.4999999999999997E-3</v>
      </c>
      <c r="AH19" s="4">
        <v>-8.9999999999999998E-4</v>
      </c>
      <c r="AI19" s="4">
        <v>-5.1999999999999998E-3</v>
      </c>
      <c r="AJ19" s="4">
        <v>-8.0000000000000002E-3</v>
      </c>
      <c r="AK19" s="4">
        <v>-3.0000000000000001E-3</v>
      </c>
      <c r="AL19" s="4">
        <f t="shared" si="1"/>
        <v>-4.6000000000000006E-2</v>
      </c>
      <c r="AM19" s="4">
        <f t="shared" si="2"/>
        <v>-5.7758382000000497E-4</v>
      </c>
    </row>
    <row r="20" spans="1:39" x14ac:dyDescent="0.2">
      <c r="A20" s="16">
        <v>44712</v>
      </c>
      <c r="B20" s="15">
        <v>-2.5472659300000001E-3</v>
      </c>
      <c r="C20" s="11">
        <f t="shared" si="3"/>
        <v>-2.9639325966666669E-3</v>
      </c>
      <c r="D20">
        <v>4.4999999999999997E-3</v>
      </c>
      <c r="E20">
        <v>7.6E-3</v>
      </c>
      <c r="F20">
        <v>2.3E-3</v>
      </c>
      <c r="G20">
        <v>6.0000000000000001E-3</v>
      </c>
      <c r="H20">
        <v>5.7000000000000002E-3</v>
      </c>
      <c r="I20">
        <v>5.4000000000000003E-3</v>
      </c>
      <c r="J20" s="3">
        <v>4.6680117125604798E-2</v>
      </c>
      <c r="K20" s="3">
        <v>2.0938441529135099E-2</v>
      </c>
      <c r="L20" s="3">
        <v>6.3466560750536805E-2</v>
      </c>
      <c r="M20" s="3">
        <v>5.8164629472185397E-2</v>
      </c>
      <c r="N20" s="3">
        <v>0.13195704963792401</v>
      </c>
      <c r="O20" s="3">
        <v>0.15792845891581</v>
      </c>
      <c r="P20" s="3">
        <v>3.5259221372465399E-2</v>
      </c>
      <c r="Q20" s="3">
        <v>6.2225410281413901E-2</v>
      </c>
      <c r="R20" s="3">
        <v>4.41122275013087E-2</v>
      </c>
      <c r="S20" s="3">
        <v>5.7168898826468001E-2</v>
      </c>
      <c r="T20" s="3">
        <v>4.0576024058725402E-2</v>
      </c>
      <c r="U20" s="3">
        <v>0.133346811971289</v>
      </c>
      <c r="V20" s="3">
        <v>8.3466130854007101E-2</v>
      </c>
      <c r="W20" s="3">
        <v>6.4710017703125303E-2</v>
      </c>
      <c r="X20" s="4">
        <v>2.3E-3</v>
      </c>
      <c r="Y20" s="4">
        <v>1E-4</v>
      </c>
      <c r="Z20" s="4">
        <v>1.8E-3</v>
      </c>
      <c r="AA20" s="4">
        <v>4.0000000000000002E-4</v>
      </c>
      <c r="AB20" s="4">
        <v>-4.1000000000000003E-3</v>
      </c>
      <c r="AC20" s="4">
        <v>-1.1000000000000001E-3</v>
      </c>
      <c r="AD20" s="4">
        <v>1E-4</v>
      </c>
      <c r="AE20" s="4">
        <v>1.1000000000000001E-3</v>
      </c>
      <c r="AF20" s="4">
        <v>2.9999999999999997E-4</v>
      </c>
      <c r="AG20" s="4">
        <v>1E-4</v>
      </c>
      <c r="AH20" s="4">
        <v>-2.9999999999999997E-4</v>
      </c>
      <c r="AI20" s="4">
        <v>1.1000000000000001E-3</v>
      </c>
      <c r="AJ20" s="4">
        <v>-1.6999999999999999E-3</v>
      </c>
      <c r="AK20" s="4">
        <v>-2.8999999999999998E-3</v>
      </c>
      <c r="AL20" s="4">
        <f t="shared" si="1"/>
        <v>-2.8E-3</v>
      </c>
      <c r="AM20" s="4">
        <f t="shared" si="2"/>
        <v>-2.5273406999999984E-4</v>
      </c>
    </row>
    <row r="21" spans="1:39" x14ac:dyDescent="0.2">
      <c r="A21" s="16">
        <v>44742</v>
      </c>
      <c r="B21" s="15">
        <v>-3.808865141E-2</v>
      </c>
      <c r="C21" s="11">
        <f t="shared" si="3"/>
        <v>-3.850531807666667E-2</v>
      </c>
      <c r="D21">
        <v>-8.09E-2</v>
      </c>
      <c r="E21">
        <v>-1.55E-2</v>
      </c>
      <c r="F21">
        <v>-8.2500000000000004E-2</v>
      </c>
      <c r="G21">
        <v>-4.82E-2</v>
      </c>
      <c r="H21">
        <v>-5.4699999999999999E-2</v>
      </c>
      <c r="I21">
        <v>-6.13E-2</v>
      </c>
      <c r="J21" s="3">
        <v>3.6985940141512103E-2</v>
      </c>
      <c r="K21" s="3">
        <v>2.0157001027078899E-2</v>
      </c>
      <c r="L21" s="3">
        <v>5.9838630831840697E-2</v>
      </c>
      <c r="M21" s="3">
        <v>5.14801568276467E-2</v>
      </c>
      <c r="N21" s="3">
        <v>0.12833465051103499</v>
      </c>
      <c r="O21" s="3">
        <v>0.176693571367422</v>
      </c>
      <c r="P21" s="3">
        <v>3.1674009905893398E-2</v>
      </c>
      <c r="Q21" s="3">
        <v>6.5801959356693196E-2</v>
      </c>
      <c r="R21" s="3">
        <v>4.9704677569888403E-2</v>
      </c>
      <c r="S21" s="3">
        <v>5.4423788578967097E-2</v>
      </c>
      <c r="T21" s="3">
        <v>3.8683441052465503E-2</v>
      </c>
      <c r="U21" s="3">
        <v>0.14017891412229999</v>
      </c>
      <c r="V21" s="3">
        <v>8.4913277431943796E-2</v>
      </c>
      <c r="W21" s="3">
        <v>6.1129981275310198E-2</v>
      </c>
      <c r="X21" s="4">
        <v>-2.8999999999999998E-3</v>
      </c>
      <c r="Y21" s="4">
        <v>-1.1000000000000001E-3</v>
      </c>
      <c r="Z21" s="4">
        <v>-5.8999999999999999E-3</v>
      </c>
      <c r="AA21" s="4">
        <v>-2.5000000000000001E-3</v>
      </c>
      <c r="AB21" s="4">
        <v>-2.0999999999999999E-3</v>
      </c>
      <c r="AC21" s="4">
        <v>-2.8999999999999998E-3</v>
      </c>
      <c r="AD21" s="4">
        <v>-3.3999999999999998E-3</v>
      </c>
      <c r="AE21" s="4">
        <v>-4.8999999999999998E-3</v>
      </c>
      <c r="AF21" s="4">
        <v>-2.9999999999999997E-4</v>
      </c>
      <c r="AG21" s="4">
        <v>-4.5999999999999999E-3</v>
      </c>
      <c r="AH21" s="4">
        <v>-1.1999999999999999E-3</v>
      </c>
      <c r="AI21" s="4">
        <v>-2.0999999999999999E-3</v>
      </c>
      <c r="AJ21" s="4">
        <v>-1E-3</v>
      </c>
      <c r="AK21" s="4">
        <v>-4.1999999999999997E-3</v>
      </c>
      <c r="AL21" s="4">
        <f t="shared" si="1"/>
        <v>-3.9100000000000003E-2</v>
      </c>
      <c r="AM21" s="4">
        <f t="shared" si="2"/>
        <v>-1.0113485900000024E-3</v>
      </c>
    </row>
    <row r="22" spans="1:39" x14ac:dyDescent="0.2">
      <c r="A22" s="16">
        <v>44773</v>
      </c>
      <c r="B22" s="15">
        <v>2.829295464E-2</v>
      </c>
      <c r="C22" s="11">
        <f t="shared" si="3"/>
        <v>2.7876287973333334E-2</v>
      </c>
      <c r="D22">
        <v>7.0699999999999999E-2</v>
      </c>
      <c r="E22">
        <v>2.5399999999999999E-2</v>
      </c>
      <c r="F22">
        <v>9.2100000000000001E-2</v>
      </c>
      <c r="G22">
        <v>4.8000000000000001E-2</v>
      </c>
      <c r="H22">
        <v>5.2600000000000001E-2</v>
      </c>
      <c r="I22">
        <v>5.7099999999999998E-2</v>
      </c>
      <c r="J22" s="3">
        <v>5.7873147816331801E-2</v>
      </c>
      <c r="K22" s="3">
        <v>2.6683397854559698E-2</v>
      </c>
      <c r="L22" s="3">
        <v>6.1836772466671103E-2</v>
      </c>
      <c r="M22" s="3">
        <v>3.5599147809213097E-2</v>
      </c>
      <c r="N22" s="3">
        <v>0.149243624595254</v>
      </c>
      <c r="O22" s="3">
        <v>0.14570461765481499</v>
      </c>
      <c r="P22" s="3">
        <v>3.2634637115062801E-2</v>
      </c>
      <c r="Q22" s="3">
        <v>7.5447951935721305E-2</v>
      </c>
      <c r="R22" s="3">
        <v>5.0485685530277401E-2</v>
      </c>
      <c r="S22" s="3">
        <v>5.3732527848619503E-2</v>
      </c>
      <c r="T22" s="3">
        <v>4.6759319579273498E-2</v>
      </c>
      <c r="U22" s="3">
        <v>0.12305555806066699</v>
      </c>
      <c r="V22" s="3">
        <v>8.6775108207694504E-2</v>
      </c>
      <c r="W22" s="3">
        <v>5.41685035258377E-2</v>
      </c>
      <c r="X22" s="4">
        <v>-1.2999999999999999E-3</v>
      </c>
      <c r="Y22" s="4">
        <v>0</v>
      </c>
      <c r="Z22" s="4">
        <v>3.0000000000000001E-3</v>
      </c>
      <c r="AA22" s="4">
        <v>8.0000000000000004E-4</v>
      </c>
      <c r="AB22" s="4">
        <v>-3.8999999999999998E-3</v>
      </c>
      <c r="AC22" s="4">
        <v>4.8999999999999998E-3</v>
      </c>
      <c r="AD22" s="4">
        <v>2.0999999999999999E-3</v>
      </c>
      <c r="AE22" s="4">
        <v>4.7000000000000002E-3</v>
      </c>
      <c r="AF22" s="4">
        <v>1.5E-3</v>
      </c>
      <c r="AG22" s="4">
        <v>4.8999999999999998E-3</v>
      </c>
      <c r="AH22" s="4">
        <v>1.9E-3</v>
      </c>
      <c r="AI22" s="4">
        <v>3.3E-3</v>
      </c>
      <c r="AJ22" s="4">
        <v>2.0999999999999999E-3</v>
      </c>
      <c r="AK22" s="4">
        <v>4.7999999999999996E-3</v>
      </c>
      <c r="AL22" s="4">
        <f t="shared" si="1"/>
        <v>2.8799999999999999E-2</v>
      </c>
      <c r="AM22" s="4">
        <f t="shared" si="2"/>
        <v>5.0704535999999967E-4</v>
      </c>
    </row>
    <row r="23" spans="1:39" x14ac:dyDescent="0.2">
      <c r="A23" s="16">
        <v>44804</v>
      </c>
      <c r="B23" s="15">
        <v>-4.0514959490000002E-2</v>
      </c>
      <c r="C23" s="11">
        <f t="shared" si="3"/>
        <v>-4.0931626156666671E-2</v>
      </c>
      <c r="D23">
        <v>-4.36E-2</v>
      </c>
      <c r="E23">
        <v>-3.04E-2</v>
      </c>
      <c r="F23">
        <v>-4.0800000000000003E-2</v>
      </c>
      <c r="G23">
        <v>-3.6999999999999998E-2</v>
      </c>
      <c r="H23">
        <v>-3.8399999999999997E-2</v>
      </c>
      <c r="I23">
        <v>-3.9699999999999999E-2</v>
      </c>
      <c r="J23" s="3">
        <v>5.1165453619036898E-2</v>
      </c>
      <c r="K23" s="3">
        <v>2.9745569929853499E-2</v>
      </c>
      <c r="L23" s="3">
        <v>6.0717126434034402E-2</v>
      </c>
      <c r="M23" s="3">
        <v>3.5453094169798798E-2</v>
      </c>
      <c r="N23" s="3">
        <v>0.13925530546391701</v>
      </c>
      <c r="O23" s="3">
        <v>0.151035609348216</v>
      </c>
      <c r="P23" s="3">
        <v>2.9523199791589402E-2</v>
      </c>
      <c r="Q23" s="3">
        <v>8.2199759993854704E-2</v>
      </c>
      <c r="R23" s="3">
        <v>5.1921111188184398E-2</v>
      </c>
      <c r="S23" s="3">
        <v>5.6175295025005297E-2</v>
      </c>
      <c r="T23" s="3">
        <v>4.2258706175348097E-2</v>
      </c>
      <c r="U23" s="3">
        <v>0.12223275871766</v>
      </c>
      <c r="V23" s="3">
        <v>9.5599899328228696E-2</v>
      </c>
      <c r="W23" s="3">
        <v>5.2717110815270501E-2</v>
      </c>
      <c r="X23" s="4">
        <v>-8.9999999999999998E-4</v>
      </c>
      <c r="Y23" s="4">
        <v>-4.0000000000000002E-4</v>
      </c>
      <c r="Z23" s="4">
        <v>-4.4000000000000003E-3</v>
      </c>
      <c r="AA23" s="4">
        <v>-2E-3</v>
      </c>
      <c r="AB23" s="4">
        <v>-4.1000000000000003E-3</v>
      </c>
      <c r="AC23" s="4">
        <v>-5.4999999999999997E-3</v>
      </c>
      <c r="AD23" s="4">
        <v>-2.2000000000000001E-3</v>
      </c>
      <c r="AE23" s="4">
        <v>-3.8E-3</v>
      </c>
      <c r="AF23" s="4">
        <v>-2E-3</v>
      </c>
      <c r="AG23" s="4">
        <v>-2.3999999999999998E-3</v>
      </c>
      <c r="AH23" s="4">
        <v>-1.1999999999999999E-3</v>
      </c>
      <c r="AI23" s="4">
        <v>-3.7000000000000002E-3</v>
      </c>
      <c r="AJ23" s="4">
        <v>-4.4999999999999997E-3</v>
      </c>
      <c r="AK23" s="4">
        <v>-3.2000000000000002E-3</v>
      </c>
      <c r="AL23" s="4">
        <f t="shared" si="1"/>
        <v>-4.0300000000000002E-2</v>
      </c>
      <c r="AM23" s="4">
        <f t="shared" si="2"/>
        <v>2.1495948999999959E-4</v>
      </c>
    </row>
    <row r="24" spans="1:39" x14ac:dyDescent="0.2">
      <c r="A24" s="16">
        <v>44834</v>
      </c>
      <c r="B24" s="15">
        <v>-6.2221793180000012E-2</v>
      </c>
      <c r="C24" s="11">
        <f t="shared" si="3"/>
        <v>-6.2638459846666675E-2</v>
      </c>
      <c r="D24">
        <v>-9.3899999999999997E-2</v>
      </c>
      <c r="E24">
        <v>-4.1399999999999999E-2</v>
      </c>
      <c r="F24">
        <v>-9.2399999999999996E-2</v>
      </c>
      <c r="G24">
        <v>-6.7699999999999996E-2</v>
      </c>
      <c r="H24">
        <v>-7.2900000000000006E-2</v>
      </c>
      <c r="I24">
        <v>-7.8200000000000006E-2</v>
      </c>
      <c r="J24" s="3">
        <v>7.1900629015591105E-2</v>
      </c>
      <c r="K24" s="3">
        <v>2.2720636851578001E-2</v>
      </c>
      <c r="L24" s="3">
        <v>4.1013452129597901E-2</v>
      </c>
      <c r="M24" s="3">
        <v>7.6013049210138295E-2</v>
      </c>
      <c r="N24" s="3">
        <v>0.19317881112455801</v>
      </c>
      <c r="O24" s="3">
        <v>8.0944999067957699E-2</v>
      </c>
      <c r="P24" s="3">
        <v>1.94945717157603E-2</v>
      </c>
      <c r="Q24" s="3">
        <v>5.2624548215691701E-2</v>
      </c>
      <c r="R24" s="3">
        <v>9.9425433359673202E-2</v>
      </c>
      <c r="S24" s="3">
        <v>4.1292713122826202E-2</v>
      </c>
      <c r="T24" s="3">
        <v>9.6906821571691504E-2</v>
      </c>
      <c r="U24" s="3">
        <v>6.8894573735385503E-2</v>
      </c>
      <c r="V24" s="3">
        <v>9.4628578619671597E-2</v>
      </c>
      <c r="W24" s="3">
        <v>4.0961182259877701E-2</v>
      </c>
      <c r="X24" s="4">
        <v>-4.7999999999999996E-3</v>
      </c>
      <c r="Y24" s="4">
        <v>-2.8E-3</v>
      </c>
      <c r="Z24" s="4">
        <v>-4.1000000000000003E-3</v>
      </c>
      <c r="AA24" s="4">
        <v>-4.7999999999999996E-3</v>
      </c>
      <c r="AB24" s="4">
        <v>-5.1000000000000004E-3</v>
      </c>
      <c r="AC24" s="4">
        <v>-2.5999999999999999E-3</v>
      </c>
      <c r="AD24" s="4">
        <v>-2.5999999999999999E-3</v>
      </c>
      <c r="AE24" s="4">
        <v>-5.1000000000000004E-3</v>
      </c>
      <c r="AF24" s="4">
        <v>-4.4000000000000003E-3</v>
      </c>
      <c r="AG24" s="4">
        <v>-3.8E-3</v>
      </c>
      <c r="AH24" s="4">
        <v>-6.3E-3</v>
      </c>
      <c r="AI24" s="4">
        <v>-3.0999999999999999E-3</v>
      </c>
      <c r="AJ24" s="4">
        <v>-8.0000000000000002E-3</v>
      </c>
      <c r="AK24" s="4">
        <v>-5.3E-3</v>
      </c>
      <c r="AL24" s="4">
        <f t="shared" si="1"/>
        <v>-6.2799999999999995E-2</v>
      </c>
      <c r="AM24" s="4">
        <f t="shared" si="2"/>
        <v>-5.7820681999998236E-4</v>
      </c>
    </row>
    <row r="25" spans="1:39" x14ac:dyDescent="0.2">
      <c r="A25" s="16">
        <v>44865</v>
      </c>
      <c r="B25" s="15">
        <v>5.0277909200000014E-3</v>
      </c>
      <c r="C25" s="11">
        <f t="shared" si="3"/>
        <v>4.6111242533333346E-3</v>
      </c>
      <c r="D25">
        <v>6.3500000000000001E-2</v>
      </c>
      <c r="E25">
        <v>-1.2800000000000001E-2</v>
      </c>
      <c r="F25">
        <v>8.1299999999999997E-2</v>
      </c>
      <c r="G25">
        <v>2.53E-2</v>
      </c>
      <c r="H25">
        <v>3.3000000000000002E-2</v>
      </c>
      <c r="I25">
        <v>4.0599999999999997E-2</v>
      </c>
      <c r="J25" s="3">
        <v>6.1047350546314903E-2</v>
      </c>
      <c r="K25" s="3">
        <v>2.35403980986333E-2</v>
      </c>
      <c r="L25" s="3">
        <v>4.3093204268295097E-2</v>
      </c>
      <c r="M25" s="3">
        <v>7.1443515211106701E-2</v>
      </c>
      <c r="N25" s="3">
        <v>0.194595658245901</v>
      </c>
      <c r="O25" s="3">
        <v>8.1273363033474794E-2</v>
      </c>
      <c r="P25" s="3">
        <v>1.6612059167551201E-2</v>
      </c>
      <c r="Q25" s="3">
        <v>5.3916845000465501E-2</v>
      </c>
      <c r="R25" s="3">
        <v>9.9111805075377299E-2</v>
      </c>
      <c r="S25" s="3">
        <v>4.6938859917207101E-2</v>
      </c>
      <c r="T25" s="3">
        <v>9.3604045127653093E-2</v>
      </c>
      <c r="U25" s="3">
        <v>7.05846364935762E-2</v>
      </c>
      <c r="V25" s="3">
        <v>9.67846843299731E-2</v>
      </c>
      <c r="W25" s="3">
        <v>4.7453575484469497E-2</v>
      </c>
      <c r="X25" s="4">
        <v>3.3E-3</v>
      </c>
      <c r="Y25" s="4">
        <v>-5.0000000000000001E-4</v>
      </c>
      <c r="Z25" s="4">
        <v>3.5999999999999999E-3</v>
      </c>
      <c r="AA25" s="4">
        <v>2.9999999999999997E-4</v>
      </c>
      <c r="AB25" s="4">
        <v>-3.2000000000000002E-3</v>
      </c>
      <c r="AC25" s="4">
        <v>5.0000000000000001E-4</v>
      </c>
      <c r="AD25" s="4">
        <v>2.9999999999999997E-4</v>
      </c>
      <c r="AE25" s="4">
        <v>1.1999999999999999E-3</v>
      </c>
      <c r="AF25" s="4">
        <v>-1.4E-3</v>
      </c>
      <c r="AG25" s="4">
        <v>3.5999999999999999E-3</v>
      </c>
      <c r="AH25" s="4">
        <v>1.4E-3</v>
      </c>
      <c r="AI25" s="4">
        <v>-8.9999999999999998E-4</v>
      </c>
      <c r="AJ25" s="4">
        <v>-5.7999999999999996E-3</v>
      </c>
      <c r="AK25" s="4">
        <v>1.4E-3</v>
      </c>
      <c r="AL25" s="4">
        <f t="shared" si="1"/>
        <v>3.7999999999999996E-3</v>
      </c>
      <c r="AM25" s="4">
        <f t="shared" si="2"/>
        <v>-1.2277909200000018E-3</v>
      </c>
    </row>
    <row r="26" spans="1:39" x14ac:dyDescent="0.2">
      <c r="A26" s="16">
        <v>44895</v>
      </c>
      <c r="B26" s="15">
        <v>5.9248023810000001E-2</v>
      </c>
      <c r="C26" s="11">
        <f t="shared" si="3"/>
        <v>5.8831357143333332E-2</v>
      </c>
      <c r="D26">
        <v>8.3400000000000002E-2</v>
      </c>
      <c r="E26">
        <v>3.8100000000000002E-2</v>
      </c>
      <c r="F26">
        <v>5.5599999999999997E-2</v>
      </c>
      <c r="G26">
        <v>6.0699999999999997E-2</v>
      </c>
      <c r="H26">
        <v>6.5299999999999997E-2</v>
      </c>
      <c r="I26">
        <v>6.9800000000000001E-2</v>
      </c>
      <c r="J26" s="3">
        <v>7.7022811086240595E-2</v>
      </c>
      <c r="K26" s="3">
        <v>2.1693339702378099E-2</v>
      </c>
      <c r="L26" s="3">
        <v>3.9067307335945302E-2</v>
      </c>
      <c r="M26" s="3">
        <v>6.4074310913452295E-2</v>
      </c>
      <c r="N26" s="3">
        <v>0.19080866538355101</v>
      </c>
      <c r="O26" s="3">
        <v>6.9417314245831294E-2</v>
      </c>
      <c r="P26" s="3">
        <v>1.6557074855364999E-2</v>
      </c>
      <c r="Q26" s="3">
        <v>5.2085481905133103E-2</v>
      </c>
      <c r="R26" s="3">
        <v>0.10781229261381101</v>
      </c>
      <c r="S26" s="3">
        <v>4.3306083976736499E-2</v>
      </c>
      <c r="T26" s="3">
        <v>0.105169913512536</v>
      </c>
      <c r="U26" s="3">
        <v>7.2346652182279106E-2</v>
      </c>
      <c r="V26" s="3">
        <v>9.8979985131043197E-2</v>
      </c>
      <c r="W26" s="3">
        <v>4.1658767155696101E-2</v>
      </c>
      <c r="X26" s="4">
        <v>1E-3</v>
      </c>
      <c r="Y26" s="4">
        <v>3.3E-3</v>
      </c>
      <c r="Z26" s="4">
        <v>5.1999999999999998E-3</v>
      </c>
      <c r="AA26" s="4">
        <v>5.1999999999999998E-3</v>
      </c>
      <c r="AB26" s="4">
        <v>1.61E-2</v>
      </c>
      <c r="AC26" s="4">
        <v>1.6999999999999999E-3</v>
      </c>
      <c r="AD26" s="4">
        <v>1.6000000000000001E-3</v>
      </c>
      <c r="AE26" s="4">
        <v>6.0000000000000001E-3</v>
      </c>
      <c r="AF26" s="4">
        <v>3.8E-3</v>
      </c>
      <c r="AG26" s="4">
        <v>2.3E-3</v>
      </c>
      <c r="AH26" s="4">
        <v>1.9E-3</v>
      </c>
      <c r="AI26" s="4">
        <v>2.7000000000000001E-3</v>
      </c>
      <c r="AJ26" s="4">
        <v>6.7999999999999996E-3</v>
      </c>
      <c r="AK26" s="4">
        <v>2.5999999999999999E-3</v>
      </c>
      <c r="AL26" s="4">
        <f t="shared" si="1"/>
        <v>6.019999999999999E-2</v>
      </c>
      <c r="AM26" s="4">
        <f t="shared" si="2"/>
        <v>9.5197618999998818E-4</v>
      </c>
    </row>
    <row r="27" spans="1:39" x14ac:dyDescent="0.2">
      <c r="A27" s="16">
        <v>44926</v>
      </c>
      <c r="B27" s="15">
        <v>-1.2169763970000001E-2</v>
      </c>
      <c r="C27" s="11">
        <f t="shared" si="3"/>
        <v>-1.2586430636666666E-2</v>
      </c>
      <c r="D27">
        <v>-4.6199999999999998E-2</v>
      </c>
      <c r="E27">
        <v>-8.6999999999999994E-3</v>
      </c>
      <c r="F27">
        <v>-5.7599999999999998E-2</v>
      </c>
      <c r="G27">
        <v>-2.7400000000000001E-2</v>
      </c>
      <c r="H27">
        <v>-3.1199999999999999E-2</v>
      </c>
      <c r="I27">
        <v>-3.49E-2</v>
      </c>
      <c r="J27" s="3">
        <v>8.3356610770120895E-2</v>
      </c>
      <c r="K27" s="3">
        <v>7.3106397790504403E-3</v>
      </c>
      <c r="L27" s="3">
        <v>1.5131827236754099E-2</v>
      </c>
      <c r="M27" s="3">
        <v>8.8290231530493299E-2</v>
      </c>
      <c r="N27" s="3">
        <v>0.239980312247913</v>
      </c>
      <c r="O27" s="3">
        <v>2.9755968112518599E-2</v>
      </c>
      <c r="P27" s="3">
        <v>6.12228000471037E-3</v>
      </c>
      <c r="Q27" s="3">
        <v>1.9753712667630399E-2</v>
      </c>
      <c r="R27" s="3">
        <v>0.17263657187297299</v>
      </c>
      <c r="S27" s="3">
        <v>1.7190413176045201E-2</v>
      </c>
      <c r="T27" s="3">
        <v>0.16096831352859201</v>
      </c>
      <c r="U27" s="3">
        <v>2.93669614152922E-2</v>
      </c>
      <c r="V27" s="3">
        <v>0.11501854056565999</v>
      </c>
      <c r="W27" s="3">
        <v>1.51176170922439E-2</v>
      </c>
      <c r="X27" s="4">
        <v>-2.2000000000000001E-3</v>
      </c>
      <c r="Y27" s="4">
        <v>-2.0000000000000001E-4</v>
      </c>
      <c r="Z27" s="4">
        <v>0</v>
      </c>
      <c r="AA27" s="4">
        <v>-5.9999999999999995E-4</v>
      </c>
      <c r="AB27" s="4">
        <v>6.3E-3</v>
      </c>
      <c r="AC27" s="4">
        <v>-5.9999999999999995E-4</v>
      </c>
      <c r="AD27" s="4">
        <v>1E-4</v>
      </c>
      <c r="AE27" s="4">
        <v>-2.0000000000000001E-4</v>
      </c>
      <c r="AF27" s="4">
        <v>-3.3E-3</v>
      </c>
      <c r="AG27" s="4">
        <v>-1E-3</v>
      </c>
      <c r="AH27" s="4">
        <v>-2.7000000000000001E-3</v>
      </c>
      <c r="AI27" s="4">
        <v>1E-4</v>
      </c>
      <c r="AJ27" s="4">
        <v>-3.3999999999999998E-3</v>
      </c>
      <c r="AK27" s="4">
        <v>-6.9999999999999999E-4</v>
      </c>
      <c r="AL27" s="4">
        <f t="shared" si="1"/>
        <v>-8.3999999999999995E-3</v>
      </c>
      <c r="AM27" s="4">
        <f t="shared" si="2"/>
        <v>3.7697639700000011E-3</v>
      </c>
    </row>
    <row r="28" spans="1:39" x14ac:dyDescent="0.2">
      <c r="A28" s="16">
        <v>44957</v>
      </c>
      <c r="B28" s="15">
        <v>4.2603468989999997E-2</v>
      </c>
      <c r="C28" s="11">
        <f t="shared" si="3"/>
        <v>4.2186802323333328E-2</v>
      </c>
      <c r="D28">
        <v>7.4999999999999997E-2</v>
      </c>
      <c r="E28">
        <v>3.3300000000000003E-2</v>
      </c>
      <c r="F28">
        <v>6.2899999999999998E-2</v>
      </c>
      <c r="G28">
        <v>5.4199999999999998E-2</v>
      </c>
      <c r="H28">
        <v>5.8299999999999998E-2</v>
      </c>
      <c r="I28">
        <v>6.25E-2</v>
      </c>
      <c r="J28" s="3">
        <v>9.2555034017398299E-2</v>
      </c>
      <c r="K28" s="3">
        <v>7.0444523760551303E-3</v>
      </c>
      <c r="L28" s="3">
        <v>1.5464942327962999E-2</v>
      </c>
      <c r="M28" s="3">
        <v>8.5784227552066494E-2</v>
      </c>
      <c r="N28" s="3">
        <v>0.22414415174077801</v>
      </c>
      <c r="O28" s="3">
        <v>3.2161897357540603E-2</v>
      </c>
      <c r="P28" s="3">
        <v>6.2432803774516901E-3</v>
      </c>
      <c r="Q28" s="3">
        <v>1.9051314328059701E-2</v>
      </c>
      <c r="R28" s="3">
        <v>0.17551365117088599</v>
      </c>
      <c r="S28" s="3">
        <v>1.6563853653350499E-2</v>
      </c>
      <c r="T28" s="3">
        <v>0.17535005367546</v>
      </c>
      <c r="U28" s="3">
        <v>2.9707936168603798E-2</v>
      </c>
      <c r="V28" s="3">
        <v>0.10591226446964599</v>
      </c>
      <c r="W28" s="3">
        <v>1.4502940784737999E-2</v>
      </c>
      <c r="X28" s="4">
        <v>1E-3</v>
      </c>
      <c r="Y28" s="4">
        <v>5.9999999999999995E-4</v>
      </c>
      <c r="Z28" s="4">
        <v>1.4E-3</v>
      </c>
      <c r="AA28" s="4">
        <v>3.0000000000000001E-3</v>
      </c>
      <c r="AB28" s="4">
        <v>1.29E-2</v>
      </c>
      <c r="AC28" s="4">
        <v>6.9999999999999999E-4</v>
      </c>
      <c r="AD28" s="4">
        <v>4.0000000000000002E-4</v>
      </c>
      <c r="AE28" s="4">
        <v>1.4E-3</v>
      </c>
      <c r="AF28" s="4">
        <v>6.1999999999999998E-3</v>
      </c>
      <c r="AG28" s="4">
        <v>1E-3</v>
      </c>
      <c r="AH28" s="4">
        <v>3.5999999999999999E-3</v>
      </c>
      <c r="AI28" s="4">
        <v>1E-3</v>
      </c>
      <c r="AJ28" s="4">
        <v>8.0999999999999996E-3</v>
      </c>
      <c r="AK28" s="4">
        <v>1.4E-3</v>
      </c>
      <c r="AL28" s="4">
        <f t="shared" si="1"/>
        <v>4.2700000000000002E-2</v>
      </c>
      <c r="AM28" s="4">
        <f t="shared" si="2"/>
        <v>9.6531010000004691E-5</v>
      </c>
    </row>
    <row r="29" spans="1:39" x14ac:dyDescent="0.2">
      <c r="A29" s="16">
        <v>44985</v>
      </c>
      <c r="B29" s="15">
        <v>-3.7713932560000003E-2</v>
      </c>
      <c r="C29" s="11">
        <f t="shared" si="3"/>
        <v>-3.8130599226666673E-2</v>
      </c>
      <c r="D29">
        <v>-3.32E-2</v>
      </c>
      <c r="E29">
        <v>-2.6700000000000002E-2</v>
      </c>
      <c r="F29">
        <v>-2.5100000000000001E-2</v>
      </c>
      <c r="G29">
        <v>-2.9899999999999999E-2</v>
      </c>
      <c r="H29">
        <v>-3.0599999999999999E-2</v>
      </c>
      <c r="I29">
        <v>-3.1199999999999999E-2</v>
      </c>
      <c r="J29" s="3">
        <v>9.4700840236580097E-2</v>
      </c>
      <c r="K29" s="3">
        <v>7.6399635352567699E-3</v>
      </c>
      <c r="L29" s="3">
        <v>1.7465092550835101E-2</v>
      </c>
      <c r="M29" s="3">
        <v>8.5991622690669595E-2</v>
      </c>
      <c r="N29" s="3">
        <v>0.23413866078544901</v>
      </c>
      <c r="O29" s="3">
        <v>3.53748663398087E-2</v>
      </c>
      <c r="P29" s="3">
        <v>6.5918153998078604E-3</v>
      </c>
      <c r="Q29" s="3">
        <v>1.95339909905188E-2</v>
      </c>
      <c r="R29" s="3">
        <v>0.16730293498784601</v>
      </c>
      <c r="S29" s="3">
        <v>1.80490076380053E-2</v>
      </c>
      <c r="T29" s="3">
        <v>0.17086939235287399</v>
      </c>
      <c r="U29" s="3">
        <v>2.8184348326989999E-2</v>
      </c>
      <c r="V29" s="3">
        <v>9.9271307000811104E-2</v>
      </c>
      <c r="W29" s="3">
        <v>1.4886157164547199E-2</v>
      </c>
      <c r="X29" s="4">
        <v>-4.1999999999999997E-3</v>
      </c>
      <c r="Y29" s="4">
        <v>-5.9999999999999995E-4</v>
      </c>
      <c r="Z29" s="4">
        <v>-4.0000000000000002E-4</v>
      </c>
      <c r="AA29" s="4">
        <v>-4.1000000000000003E-3</v>
      </c>
      <c r="AB29" s="4">
        <v>-1.26E-2</v>
      </c>
      <c r="AC29" s="4">
        <v>-5.9999999999999995E-4</v>
      </c>
      <c r="AD29" s="4">
        <v>-2.9999999999999997E-4</v>
      </c>
      <c r="AE29" s="4">
        <v>-8.9999999999999998E-4</v>
      </c>
      <c r="AF29" s="4">
        <v>-5.4999999999999997E-3</v>
      </c>
      <c r="AG29" s="4">
        <v>-5.0000000000000001E-4</v>
      </c>
      <c r="AH29" s="4">
        <v>-2.3E-3</v>
      </c>
      <c r="AI29" s="4">
        <v>-8.0000000000000004E-4</v>
      </c>
      <c r="AJ29" s="4">
        <v>-4.7999999999999996E-3</v>
      </c>
      <c r="AK29" s="4">
        <v>-8.9999999999999998E-4</v>
      </c>
      <c r="AL29" s="4">
        <f t="shared" si="1"/>
        <v>-3.85E-2</v>
      </c>
      <c r="AM29" s="4">
        <f t="shared" si="2"/>
        <v>-7.8606743999999618E-4</v>
      </c>
    </row>
    <row r="30" spans="1:39" x14ac:dyDescent="0.2">
      <c r="A30" s="16">
        <v>45016</v>
      </c>
      <c r="B30" s="15">
        <v>4.0355199309999999E-2</v>
      </c>
      <c r="C30" s="11">
        <f t="shared" si="3"/>
        <v>3.993853264333333E-2</v>
      </c>
      <c r="D30">
        <v>3.3300000000000003E-2</v>
      </c>
      <c r="E30">
        <v>2.64E-2</v>
      </c>
      <c r="F30">
        <v>3.7100000000000001E-2</v>
      </c>
      <c r="G30">
        <v>2.9899999999999999E-2</v>
      </c>
      <c r="H30">
        <v>3.0599999999999999E-2</v>
      </c>
      <c r="I30">
        <v>3.1300000000000001E-2</v>
      </c>
      <c r="J30" s="3">
        <v>8.2549524253954301E-2</v>
      </c>
      <c r="K30" s="3">
        <v>2.14251780345944E-2</v>
      </c>
      <c r="L30" s="3">
        <v>5.3995122728690698E-2</v>
      </c>
      <c r="M30" s="3">
        <v>5.8517734661662102E-2</v>
      </c>
      <c r="N30" s="3">
        <v>0.16967587933421799</v>
      </c>
      <c r="O30" s="3">
        <v>8.31554322335704E-2</v>
      </c>
      <c r="P30" s="3">
        <v>2.2023134325767999E-2</v>
      </c>
      <c r="Q30" s="3">
        <v>6.0348085280696698E-2</v>
      </c>
      <c r="R30" s="3">
        <v>0.10190091574943599</v>
      </c>
      <c r="S30" s="3">
        <v>4.92127298512487E-2</v>
      </c>
      <c r="T30" s="3">
        <v>0.105649962221378</v>
      </c>
      <c r="U30" s="3">
        <v>6.7501917829677405E-2</v>
      </c>
      <c r="V30" s="3">
        <v>8.34823809396322E-2</v>
      </c>
      <c r="W30" s="3">
        <v>4.0562002555471197E-2</v>
      </c>
      <c r="X30" s="4">
        <v>2.0000000000000001E-4</v>
      </c>
      <c r="Y30" s="4">
        <v>4.0000000000000002E-4</v>
      </c>
      <c r="Z30" s="4">
        <v>1.1999999999999999E-3</v>
      </c>
      <c r="AA30" s="4">
        <v>2.8E-3</v>
      </c>
      <c r="AB30" s="4">
        <v>1.37E-2</v>
      </c>
      <c r="AC30" s="4">
        <v>2.3E-3</v>
      </c>
      <c r="AD30" s="4">
        <v>-2.9999999999999997E-4</v>
      </c>
      <c r="AE30" s="4">
        <v>2.8E-3</v>
      </c>
      <c r="AF30" s="4">
        <v>3.3E-3</v>
      </c>
      <c r="AG30" s="4">
        <v>1.9E-3</v>
      </c>
      <c r="AH30" s="4">
        <v>2.8E-3</v>
      </c>
      <c r="AI30" s="4">
        <v>2E-3</v>
      </c>
      <c r="AJ30" s="4">
        <v>3.8999999999999998E-3</v>
      </c>
      <c r="AK30" s="4">
        <v>-5.0000000000000001E-4</v>
      </c>
      <c r="AL30" s="4">
        <f t="shared" si="1"/>
        <v>3.6499999999999998E-2</v>
      </c>
      <c r="AM30" s="4">
        <f t="shared" si="2"/>
        <v>-3.8551993100000015E-3</v>
      </c>
    </row>
    <row r="31" spans="1:39" x14ac:dyDescent="0.2">
      <c r="A31" s="16">
        <v>45046</v>
      </c>
      <c r="B31" s="15">
        <v>7.1759847800000002E-3</v>
      </c>
      <c r="C31" s="11">
        <f t="shared" si="3"/>
        <v>6.7593181133333334E-3</v>
      </c>
      <c r="D31">
        <v>1.5699999999999999E-2</v>
      </c>
      <c r="E31">
        <v>5.7000000000000002E-3</v>
      </c>
      <c r="F31">
        <v>1.6E-2</v>
      </c>
      <c r="G31">
        <v>1.0699999999999999E-2</v>
      </c>
      <c r="H31">
        <v>1.17E-2</v>
      </c>
      <c r="I31">
        <v>1.2699999999999999E-2</v>
      </c>
      <c r="J31" s="3">
        <v>8.9967325987026406E-2</v>
      </c>
      <c r="K31" s="3">
        <v>2.1279518868590801E-2</v>
      </c>
      <c r="L31" s="3">
        <v>5.7379730691779499E-2</v>
      </c>
      <c r="M31" s="3">
        <v>5.6906938551287499E-2</v>
      </c>
      <c r="N31" s="3">
        <v>0.147351836235869</v>
      </c>
      <c r="O31" s="3">
        <v>9.0714408740842897E-2</v>
      </c>
      <c r="P31" s="3">
        <v>2.14272397398435E-2</v>
      </c>
      <c r="Q31" s="3">
        <v>6.3815951354451395E-2</v>
      </c>
      <c r="R31" s="3">
        <v>8.3906493785611103E-2</v>
      </c>
      <c r="S31" s="3">
        <v>5.8011725843825301E-2</v>
      </c>
      <c r="T31" s="3">
        <v>9.2818623255426905E-2</v>
      </c>
      <c r="U31" s="3">
        <v>8.4792820076542694E-2</v>
      </c>
      <c r="V31" s="3">
        <v>9.0828362724587899E-2</v>
      </c>
      <c r="W31" s="3">
        <v>4.0799024144313897E-2</v>
      </c>
      <c r="X31" s="4">
        <v>-8.0000000000000004E-4</v>
      </c>
      <c r="Y31" s="4">
        <v>-2.0000000000000001E-4</v>
      </c>
      <c r="Z31" s="4">
        <v>2.3999999999999998E-3</v>
      </c>
      <c r="AA31" s="4">
        <v>-1E-4</v>
      </c>
      <c r="AB31" s="4">
        <v>1.5E-3</v>
      </c>
      <c r="AC31" s="4">
        <v>2.0000000000000001E-4</v>
      </c>
      <c r="AD31" s="4">
        <v>8.9999999999999998E-4</v>
      </c>
      <c r="AE31" s="4">
        <v>2.0000000000000001E-4</v>
      </c>
      <c r="AF31" s="4">
        <v>8.0000000000000004E-4</v>
      </c>
      <c r="AG31" s="4">
        <v>8.9999999999999998E-4</v>
      </c>
      <c r="AH31" s="4">
        <v>1E-4</v>
      </c>
      <c r="AI31" s="4">
        <v>4.0000000000000002E-4</v>
      </c>
      <c r="AJ31" s="4">
        <v>2.9999999999999997E-4</v>
      </c>
      <c r="AK31" s="4">
        <v>4.0000000000000002E-4</v>
      </c>
      <c r="AL31" s="4">
        <f t="shared" si="1"/>
        <v>7.0000000000000001E-3</v>
      </c>
      <c r="AM31" s="4">
        <f t="shared" si="2"/>
        <v>-1.7598478000000004E-4</v>
      </c>
    </row>
    <row r="32" spans="1:39" x14ac:dyDescent="0.2">
      <c r="A32" s="16">
        <v>45077</v>
      </c>
      <c r="B32" s="15">
        <v>-2.071478425E-2</v>
      </c>
      <c r="C32" s="11">
        <f t="shared" si="3"/>
        <v>-2.1131450916666666E-2</v>
      </c>
      <c r="D32">
        <v>-1.0500000000000001E-2</v>
      </c>
      <c r="E32">
        <v>-1.14E-2</v>
      </c>
      <c r="F32">
        <v>4.5999999999999999E-3</v>
      </c>
      <c r="G32">
        <v>-1.09E-2</v>
      </c>
      <c r="H32">
        <v>-1.09E-2</v>
      </c>
      <c r="I32">
        <v>-1.0800000000000001E-2</v>
      </c>
      <c r="J32" s="3">
        <v>8.3697532945501807E-2</v>
      </c>
      <c r="K32" s="3">
        <v>2.1079150520083599E-2</v>
      </c>
      <c r="L32" s="3">
        <v>6.07932582535127E-2</v>
      </c>
      <c r="M32" s="3">
        <v>5.67838928564516E-2</v>
      </c>
      <c r="N32" s="3">
        <v>0.13612198666080799</v>
      </c>
      <c r="O32" s="3">
        <v>9.6635227195880399E-2</v>
      </c>
      <c r="P32" s="3">
        <v>2.2272754718360901E-2</v>
      </c>
      <c r="Q32" s="3">
        <v>6.6929491467652605E-2</v>
      </c>
      <c r="R32" s="3">
        <v>8.1012209279401601E-2</v>
      </c>
      <c r="S32" s="3">
        <v>5.3064402250043302E-2</v>
      </c>
      <c r="T32" s="3">
        <v>8.8436507257937197E-2</v>
      </c>
      <c r="U32" s="3">
        <v>9.2070573963441496E-2</v>
      </c>
      <c r="V32" s="3">
        <v>9.5488883312740205E-2</v>
      </c>
      <c r="W32" s="3">
        <v>4.5614129318183601E-2</v>
      </c>
      <c r="X32" s="4">
        <v>-5.4999999999999997E-3</v>
      </c>
      <c r="Y32" s="4">
        <v>-5.0000000000000001E-4</v>
      </c>
      <c r="Z32" s="4">
        <v>-3.2000000000000002E-3</v>
      </c>
      <c r="AA32" s="4">
        <v>-1.5E-3</v>
      </c>
      <c r="AB32" s="4">
        <v>-1.9E-3</v>
      </c>
      <c r="AC32" s="4">
        <v>2.0000000000000001E-4</v>
      </c>
      <c r="AD32" s="4">
        <v>-1.6000000000000001E-3</v>
      </c>
      <c r="AE32" s="4">
        <v>5.0000000000000001E-4</v>
      </c>
      <c r="AF32" s="4">
        <v>-1.1999999999999999E-3</v>
      </c>
      <c r="AG32" s="4">
        <v>2.0000000000000001E-4</v>
      </c>
      <c r="AH32" s="4">
        <v>-1.1000000000000001E-3</v>
      </c>
      <c r="AI32" s="4">
        <v>-1E-3</v>
      </c>
      <c r="AJ32" s="4">
        <v>-2.7000000000000001E-3</v>
      </c>
      <c r="AK32" s="4">
        <v>-1.8E-3</v>
      </c>
      <c r="AL32" s="4">
        <f t="shared" si="1"/>
        <v>-2.1100000000000001E-2</v>
      </c>
      <c r="AM32" s="4">
        <f t="shared" si="2"/>
        <v>-3.8521575000000086E-4</v>
      </c>
    </row>
    <row r="33" spans="1:39" x14ac:dyDescent="0.2">
      <c r="A33" s="16">
        <v>45107</v>
      </c>
      <c r="B33" s="15">
        <v>7.0267270099999999E-3</v>
      </c>
      <c r="C33" s="11">
        <f t="shared" si="3"/>
        <v>6.6100603433333332E-3</v>
      </c>
      <c r="D33">
        <v>5.79E-2</v>
      </c>
      <c r="E33">
        <v>-3.7000000000000002E-3</v>
      </c>
      <c r="F33">
        <v>6.4799999999999996E-2</v>
      </c>
      <c r="G33">
        <v>2.7099999999999999E-2</v>
      </c>
      <c r="H33">
        <v>3.3300000000000003E-2</v>
      </c>
      <c r="I33">
        <v>3.9399999999999998E-2</v>
      </c>
      <c r="J33" s="3">
        <v>0.102300924155172</v>
      </c>
      <c r="K33" s="3">
        <v>1.13643640275151E-2</v>
      </c>
      <c r="L33" s="3">
        <v>3.4532917807826802E-2</v>
      </c>
      <c r="M33" s="3">
        <v>9.0312487303413097E-2</v>
      </c>
      <c r="N33" s="3">
        <v>0.170425610058169</v>
      </c>
      <c r="O33" s="3">
        <v>7.1811534057527895E-2</v>
      </c>
      <c r="P33" s="3">
        <v>1.18905565384887E-2</v>
      </c>
      <c r="Q33" s="3">
        <v>4.1078518092432098E-2</v>
      </c>
      <c r="R33" s="3">
        <v>0.11265246812424</v>
      </c>
      <c r="S33" s="3">
        <v>3.5695685171840401E-2</v>
      </c>
      <c r="T33" s="3">
        <v>0.13490579457708701</v>
      </c>
      <c r="U33" s="3">
        <v>6.1205198173059097E-2</v>
      </c>
      <c r="V33" s="3">
        <v>9.6495007268231903E-2</v>
      </c>
      <c r="W33" s="3">
        <v>2.5328934644993799E-2</v>
      </c>
      <c r="X33" s="4">
        <v>2.5999999999999999E-3</v>
      </c>
      <c r="Y33" s="4">
        <v>6.9999999999999999E-4</v>
      </c>
      <c r="Z33" s="4">
        <v>1.8E-3</v>
      </c>
      <c r="AA33" s="4">
        <v>4.0000000000000002E-4</v>
      </c>
      <c r="AB33" s="4">
        <v>-4.0000000000000001E-3</v>
      </c>
      <c r="AC33" s="4">
        <v>0</v>
      </c>
      <c r="AD33" s="4">
        <v>-1E-4</v>
      </c>
      <c r="AE33" s="4">
        <v>2.7000000000000001E-3</v>
      </c>
      <c r="AF33" s="4">
        <v>-1.5E-3</v>
      </c>
      <c r="AG33" s="4">
        <v>2.5000000000000001E-3</v>
      </c>
      <c r="AH33" s="4">
        <v>-5.0000000000000001E-4</v>
      </c>
      <c r="AI33" s="4">
        <v>-1E-4</v>
      </c>
      <c r="AJ33" s="4">
        <v>2.0000000000000001E-4</v>
      </c>
      <c r="AK33" s="4">
        <v>1.5E-3</v>
      </c>
      <c r="AL33" s="4">
        <f t="shared" si="1"/>
        <v>6.1999999999999989E-3</v>
      </c>
      <c r="AM33" s="4">
        <f t="shared" si="2"/>
        <v>-8.2672701000000102E-4</v>
      </c>
    </row>
    <row r="34" spans="1:39" x14ac:dyDescent="0.2">
      <c r="A34" s="16">
        <v>45138</v>
      </c>
      <c r="B34" s="15">
        <v>1.443809546E-2</v>
      </c>
      <c r="C34" s="11">
        <f t="shared" si="3"/>
        <v>1.4021428793333334E-2</v>
      </c>
      <c r="D34">
        <v>3.5999999999999997E-2</v>
      </c>
      <c r="E34">
        <v>-2.0000000000000001E-4</v>
      </c>
      <c r="F34">
        <v>3.27E-2</v>
      </c>
      <c r="G34">
        <v>1.7899999999999999E-2</v>
      </c>
      <c r="H34">
        <v>2.1499999999999998E-2</v>
      </c>
      <c r="I34">
        <v>2.5100000000000001E-2</v>
      </c>
      <c r="J34" s="3">
        <v>6.5759107461451499E-2</v>
      </c>
      <c r="K34" s="3">
        <v>1.6149366007824802E-2</v>
      </c>
      <c r="L34" s="3">
        <v>5.3226054994931403E-2</v>
      </c>
      <c r="M34" s="3">
        <v>5.8402980981959E-2</v>
      </c>
      <c r="N34" s="3">
        <v>0.145193511298714</v>
      </c>
      <c r="O34" s="3">
        <v>0.11727298597118101</v>
      </c>
      <c r="P34" s="3">
        <v>1.65995482608297E-2</v>
      </c>
      <c r="Q34" s="3">
        <v>4.9973954116605102E-2</v>
      </c>
      <c r="R34" s="3">
        <v>8.5328458730071804E-2</v>
      </c>
      <c r="S34" s="3">
        <v>6.3452302950865097E-2</v>
      </c>
      <c r="T34" s="3">
        <v>0.10421835370164199</v>
      </c>
      <c r="U34" s="3">
        <v>9.0151729673457401E-2</v>
      </c>
      <c r="V34" s="3">
        <v>8.6434262322190494E-2</v>
      </c>
      <c r="W34" s="3">
        <v>4.7837383528274401E-2</v>
      </c>
      <c r="X34" s="4">
        <v>5.7000000000000002E-3</v>
      </c>
      <c r="Y34" s="4">
        <v>8.9999999999999998E-4</v>
      </c>
      <c r="Z34" s="4">
        <v>1.4E-3</v>
      </c>
      <c r="AA34" s="4">
        <v>5.0000000000000001E-4</v>
      </c>
      <c r="AB34" s="4">
        <v>3.3999999999999998E-3</v>
      </c>
      <c r="AC34" s="4">
        <v>0</v>
      </c>
      <c r="AD34" s="4">
        <v>1E-3</v>
      </c>
      <c r="AE34" s="4">
        <v>1.1999999999999999E-3</v>
      </c>
      <c r="AF34" s="4">
        <v>-5.9999999999999995E-4</v>
      </c>
      <c r="AG34" s="4">
        <v>2E-3</v>
      </c>
      <c r="AH34" s="4">
        <v>0</v>
      </c>
      <c r="AI34" s="4">
        <v>0</v>
      </c>
      <c r="AJ34" s="4">
        <v>-2.2000000000000001E-3</v>
      </c>
      <c r="AK34" s="4">
        <v>6.9999999999999999E-4</v>
      </c>
      <c r="AL34" s="4">
        <f t="shared" si="1"/>
        <v>1.4E-2</v>
      </c>
      <c r="AM34" s="4">
        <f t="shared" si="2"/>
        <v>-4.3809545999999935E-4</v>
      </c>
    </row>
    <row r="35" spans="1:39" x14ac:dyDescent="0.2">
      <c r="A35" s="16">
        <v>45169</v>
      </c>
      <c r="B35" s="15">
        <v>-1.495537775E-2</v>
      </c>
      <c r="C35" s="11">
        <f t="shared" si="3"/>
        <v>-1.5372044416666666E-2</v>
      </c>
      <c r="D35">
        <v>-2.9100000000000001E-2</v>
      </c>
      <c r="E35">
        <v>-6.3E-3</v>
      </c>
      <c r="F35">
        <v>-1.6299999999999999E-2</v>
      </c>
      <c r="G35">
        <v>-1.77E-2</v>
      </c>
      <c r="H35">
        <v>-0.02</v>
      </c>
      <c r="I35">
        <v>-2.2200000000000001E-2</v>
      </c>
      <c r="J35" s="3">
        <v>7.0426457384302393E-2</v>
      </c>
      <c r="K35" s="3">
        <v>1.5804238924279401E-2</v>
      </c>
      <c r="L35" s="3">
        <v>4.9220071476156597E-2</v>
      </c>
      <c r="M35" s="3">
        <v>5.7485367837945299E-2</v>
      </c>
      <c r="N35" s="3">
        <v>0.15909855109938301</v>
      </c>
      <c r="O35" s="3">
        <v>0.10065611454411</v>
      </c>
      <c r="P35" s="3">
        <v>1.6708589362272899E-2</v>
      </c>
      <c r="Q35" s="3">
        <v>5.2676447252808199E-2</v>
      </c>
      <c r="R35" s="3">
        <v>8.6359958241858603E-2</v>
      </c>
      <c r="S35" s="3">
        <v>6.98837675831884E-2</v>
      </c>
      <c r="T35" s="3">
        <v>0.10242428919752999</v>
      </c>
      <c r="U35" s="3">
        <v>7.7026865315332996E-2</v>
      </c>
      <c r="V35" s="3">
        <v>8.70389350628053E-2</v>
      </c>
      <c r="W35" s="3">
        <v>5.5190346718024003E-2</v>
      </c>
      <c r="X35" s="4">
        <v>-2.0000000000000001E-4</v>
      </c>
      <c r="Y35" s="4">
        <v>-1.1000000000000001E-3</v>
      </c>
      <c r="Z35" s="4">
        <v>-1.9E-3</v>
      </c>
      <c r="AA35" s="4">
        <v>-1.4E-3</v>
      </c>
      <c r="AB35" s="4">
        <v>-1.9E-3</v>
      </c>
      <c r="AC35" s="4">
        <v>2.0000000000000001E-4</v>
      </c>
      <c r="AD35" s="4">
        <v>-6.9999999999999999E-4</v>
      </c>
      <c r="AE35" s="4">
        <v>-1.4E-3</v>
      </c>
      <c r="AF35" s="4">
        <v>-5.9999999999999995E-4</v>
      </c>
      <c r="AG35" s="4">
        <v>-1.1000000000000001E-3</v>
      </c>
      <c r="AH35" s="4">
        <v>-8.0000000000000004E-4</v>
      </c>
      <c r="AI35" s="4">
        <v>-5.9999999999999995E-4</v>
      </c>
      <c r="AJ35" s="4">
        <v>-2.7000000000000001E-3</v>
      </c>
      <c r="AK35" s="4">
        <v>-1.6999999999999999E-3</v>
      </c>
      <c r="AL35" s="4">
        <f t="shared" si="1"/>
        <v>-1.5900000000000001E-2</v>
      </c>
      <c r="AM35" s="4">
        <f t="shared" si="2"/>
        <v>-9.4462225000000073E-4</v>
      </c>
    </row>
    <row r="36" spans="1:39" x14ac:dyDescent="0.2">
      <c r="A36" s="16">
        <v>45199</v>
      </c>
      <c r="B36" s="15">
        <v>-3.3911148449999998E-2</v>
      </c>
      <c r="C36" s="11">
        <f t="shared" si="3"/>
        <v>-3.4327815116666667E-2</v>
      </c>
      <c r="D36">
        <v>-4.2799999999999998E-2</v>
      </c>
      <c r="E36">
        <v>-2.5899999999999999E-2</v>
      </c>
      <c r="F36">
        <v>-4.7399999999999998E-2</v>
      </c>
      <c r="G36">
        <v>-3.4299999999999997E-2</v>
      </c>
      <c r="H36">
        <v>-3.5999999999999997E-2</v>
      </c>
      <c r="I36">
        <v>-3.7699999999999997E-2</v>
      </c>
      <c r="J36" s="3">
        <v>8.2604854654615797E-2</v>
      </c>
      <c r="K36" s="3">
        <v>1.6935891723562201E-2</v>
      </c>
      <c r="L36" s="3">
        <v>4.6771662300162199E-2</v>
      </c>
      <c r="M36" s="3">
        <v>6.1677957182493998E-2</v>
      </c>
      <c r="N36" s="3">
        <v>0.18049459947070801</v>
      </c>
      <c r="O36" s="3">
        <v>9.54897467718126E-2</v>
      </c>
      <c r="P36" s="3">
        <v>1.77780607005056E-2</v>
      </c>
      <c r="Q36" s="3">
        <v>4.3501005389755397E-2</v>
      </c>
      <c r="R36" s="3">
        <v>8.6495229853430999E-2</v>
      </c>
      <c r="S36" s="3">
        <v>6.4527021943170004E-2</v>
      </c>
      <c r="T36" s="3">
        <v>9.9527475014162495E-2</v>
      </c>
      <c r="U36" s="3">
        <v>6.5715040021359403E-2</v>
      </c>
      <c r="V36" s="3">
        <v>7.6778815238928697E-2</v>
      </c>
      <c r="W36" s="3">
        <v>6.1702639735332097E-2</v>
      </c>
      <c r="X36" s="4">
        <v>1.1000000000000001E-3</v>
      </c>
      <c r="Y36" s="4">
        <v>-5.0000000000000001E-4</v>
      </c>
      <c r="Z36" s="4">
        <v>-2E-3</v>
      </c>
      <c r="AA36" s="4">
        <v>-2.5000000000000001E-3</v>
      </c>
      <c r="AB36" s="4">
        <v>-8.8000000000000005E-3</v>
      </c>
      <c r="AC36" s="4">
        <v>-1.6999999999999999E-3</v>
      </c>
      <c r="AD36" s="4">
        <v>-8.9999999999999998E-4</v>
      </c>
      <c r="AE36" s="4">
        <v>-8.9999999999999998E-4</v>
      </c>
      <c r="AF36" s="4">
        <v>-2.7000000000000001E-3</v>
      </c>
      <c r="AG36" s="4">
        <v>-3.0999999999999999E-3</v>
      </c>
      <c r="AH36" s="4">
        <v>-1.9E-3</v>
      </c>
      <c r="AI36" s="4">
        <v>-1.8E-3</v>
      </c>
      <c r="AJ36" s="4">
        <v>-6.4000000000000003E-3</v>
      </c>
      <c r="AK36" s="4">
        <v>-4.5999999999999999E-3</v>
      </c>
      <c r="AL36" s="4">
        <f t="shared" ref="AL36:AL67" si="4">SUM(X36:AK36)</f>
        <v>-3.6699999999999997E-2</v>
      </c>
      <c r="AM36" s="4">
        <f t="shared" ref="AM36:AM67" si="5">+AL36-B36</f>
        <v>-2.7888515499999988E-3</v>
      </c>
    </row>
    <row r="37" spans="1:39" x14ac:dyDescent="0.2">
      <c r="A37" s="16">
        <v>45230</v>
      </c>
      <c r="B37" s="15">
        <v>-1.23931271E-3</v>
      </c>
      <c r="C37" s="11">
        <f t="shared" si="3"/>
        <v>-1.6559793766666667E-3</v>
      </c>
      <c r="D37">
        <v>-2.5399999999999999E-2</v>
      </c>
      <c r="E37">
        <v>-1.5699999999999999E-2</v>
      </c>
      <c r="F37">
        <v>-2.1700000000000001E-2</v>
      </c>
      <c r="G37">
        <v>-2.06E-2</v>
      </c>
      <c r="H37">
        <v>-2.1499999999999998E-2</v>
      </c>
      <c r="I37">
        <v>-2.2499999999999999E-2</v>
      </c>
      <c r="J37" s="3">
        <v>0.108265785356897</v>
      </c>
      <c r="K37" s="3">
        <v>1.7390191530557701E-2</v>
      </c>
      <c r="L37" s="3">
        <v>4.6306049775983002E-2</v>
      </c>
      <c r="M37" s="3">
        <v>6.2492848175653398E-2</v>
      </c>
      <c r="N37" s="3">
        <v>0.19294414173845001</v>
      </c>
      <c r="O37" s="3">
        <v>8.4962381045225896E-2</v>
      </c>
      <c r="P37" s="3">
        <v>2.0160556072559201E-2</v>
      </c>
      <c r="Q37" s="3">
        <v>5.0530338055884E-2</v>
      </c>
      <c r="R37" s="3">
        <v>8.5948173336004199E-2</v>
      </c>
      <c r="S37" s="3">
        <v>5.9991790492947998E-2</v>
      </c>
      <c r="T37" s="3">
        <v>9.2795597820060804E-2</v>
      </c>
      <c r="U37" s="3">
        <v>5.8977891070634801E-2</v>
      </c>
      <c r="V37" s="3">
        <v>6.9011137901435801E-2</v>
      </c>
      <c r="W37" s="3">
        <v>5.02231176277049E-2</v>
      </c>
      <c r="X37" s="4">
        <v>-1.8E-3</v>
      </c>
      <c r="Y37" s="4">
        <v>-5.9999999999999995E-4</v>
      </c>
      <c r="Z37" s="4">
        <v>-1.4E-3</v>
      </c>
      <c r="AA37" s="4">
        <v>-8.9999999999999998E-4</v>
      </c>
      <c r="AB37" s="4">
        <v>1.46E-2</v>
      </c>
      <c r="AC37" s="4">
        <v>-2.0000000000000001E-4</v>
      </c>
      <c r="AD37" s="4">
        <v>-6.9999999999999999E-4</v>
      </c>
      <c r="AE37" s="4">
        <v>-1.1000000000000001E-3</v>
      </c>
      <c r="AF37" s="4">
        <v>-1.6000000000000001E-3</v>
      </c>
      <c r="AG37" s="4">
        <v>-1.2999999999999999E-3</v>
      </c>
      <c r="AH37" s="4">
        <v>-6.9999999999999999E-4</v>
      </c>
      <c r="AI37" s="4">
        <v>-1E-3</v>
      </c>
      <c r="AJ37" s="4">
        <v>-3.8E-3</v>
      </c>
      <c r="AK37" s="4">
        <v>-2E-3</v>
      </c>
      <c r="AL37" s="4">
        <f t="shared" si="4"/>
        <v>-2.4999999999999992E-3</v>
      </c>
      <c r="AM37" s="4">
        <f t="shared" si="5"/>
        <v>-1.2606872899999992E-3</v>
      </c>
    </row>
    <row r="38" spans="1:39" x14ac:dyDescent="0.2">
      <c r="A38" s="16">
        <v>45260</v>
      </c>
      <c r="B38" s="15">
        <v>5.183098672E-2</v>
      </c>
      <c r="C38" s="11">
        <f t="shared" si="3"/>
        <v>5.141432005333333E-2</v>
      </c>
      <c r="D38">
        <v>8.8900000000000007E-2</v>
      </c>
      <c r="E38">
        <v>4.5900000000000003E-2</v>
      </c>
      <c r="F38">
        <v>9.1300000000000006E-2</v>
      </c>
      <c r="G38">
        <v>6.7400000000000002E-2</v>
      </c>
      <c r="H38">
        <v>7.17E-2</v>
      </c>
      <c r="I38">
        <v>7.5999999999999998E-2</v>
      </c>
      <c r="J38" s="3">
        <v>8.9324813350756593E-2</v>
      </c>
      <c r="K38" s="3">
        <v>3.2136428594351001E-2</v>
      </c>
      <c r="L38" s="3">
        <v>8.2619067228166296E-2</v>
      </c>
      <c r="M38" s="3">
        <v>3.8183199369007999E-2</v>
      </c>
      <c r="N38" s="3">
        <v>0.12087663084932</v>
      </c>
      <c r="O38" s="3">
        <v>0.13154224597668801</v>
      </c>
      <c r="P38" s="3">
        <v>3.3777612246320803E-2</v>
      </c>
      <c r="Q38" s="3">
        <v>8.2522149296004293E-2</v>
      </c>
      <c r="R38" s="3">
        <v>4.0686094303288997E-2</v>
      </c>
      <c r="S38" s="3">
        <v>8.9369834928978695E-2</v>
      </c>
      <c r="T38" s="3">
        <v>4.89617383071725E-2</v>
      </c>
      <c r="U38" s="3">
        <v>9.6385808247595003E-2</v>
      </c>
      <c r="V38" s="3">
        <v>5.3805368832649199E-2</v>
      </c>
      <c r="W38" s="3">
        <v>5.9809008469699103E-2</v>
      </c>
      <c r="X38" s="4">
        <v>-2.0999999999999999E-3</v>
      </c>
      <c r="Y38" s="4">
        <v>2.3E-3</v>
      </c>
      <c r="Z38" s="4">
        <v>7.4000000000000003E-3</v>
      </c>
      <c r="AA38" s="4">
        <v>2.3999999999999998E-3</v>
      </c>
      <c r="AB38" s="4">
        <v>2.7000000000000001E-3</v>
      </c>
      <c r="AC38" s="4">
        <v>4.1999999999999997E-3</v>
      </c>
      <c r="AD38" s="4">
        <v>3.0999999999999999E-3</v>
      </c>
      <c r="AE38" s="4">
        <v>4.4000000000000003E-3</v>
      </c>
      <c r="AF38" s="4">
        <v>2.3E-3</v>
      </c>
      <c r="AG38" s="4">
        <v>7.7000000000000002E-3</v>
      </c>
      <c r="AH38" s="4">
        <v>1.6999999999999999E-3</v>
      </c>
      <c r="AI38" s="4">
        <v>3.8999999999999998E-3</v>
      </c>
      <c r="AJ38" s="4">
        <v>5.4999999999999997E-3</v>
      </c>
      <c r="AK38" s="4">
        <v>7.1000000000000004E-3</v>
      </c>
      <c r="AL38" s="4">
        <f t="shared" si="4"/>
        <v>5.2600000000000001E-2</v>
      </c>
      <c r="AM38" s="4">
        <f t="shared" si="5"/>
        <v>7.690132800000013E-4</v>
      </c>
    </row>
    <row r="39" spans="1:39" x14ac:dyDescent="0.2">
      <c r="A39" s="16">
        <v>45291</v>
      </c>
      <c r="B39" s="15">
        <v>3.0444900939999998E-2</v>
      </c>
      <c r="C39" s="11">
        <f t="shared" si="3"/>
        <v>3.0028234273333333E-2</v>
      </c>
      <c r="D39">
        <v>4.8300000000000003E-2</v>
      </c>
      <c r="E39">
        <v>3.6900000000000002E-2</v>
      </c>
      <c r="F39">
        <v>4.5699999999999998E-2</v>
      </c>
      <c r="G39">
        <v>4.2599999999999999E-2</v>
      </c>
      <c r="H39">
        <v>4.3700000000000003E-2</v>
      </c>
      <c r="I39">
        <v>4.4900000000000002E-2</v>
      </c>
      <c r="J39" s="3">
        <v>9.4261236832182294E-2</v>
      </c>
      <c r="K39" s="3">
        <v>2.1092541510025101E-2</v>
      </c>
      <c r="L39" s="3">
        <v>5.37244616161872E-2</v>
      </c>
      <c r="M39" s="3">
        <v>7.3880682899913105E-2</v>
      </c>
      <c r="N39" s="3">
        <v>0.18854925236570599</v>
      </c>
      <c r="O39" s="3">
        <v>7.7357555227521496E-2</v>
      </c>
      <c r="P39" s="3">
        <v>1.6958866873670399E-2</v>
      </c>
      <c r="Q39" s="3">
        <v>5.5949127489848101E-2</v>
      </c>
      <c r="R39" s="3">
        <v>9.1480513166214097E-2</v>
      </c>
      <c r="S39" s="3">
        <v>6.0855901304752998E-2</v>
      </c>
      <c r="T39" s="3">
        <v>0.10940277465545099</v>
      </c>
      <c r="U39" s="3">
        <v>5.88502902370567E-2</v>
      </c>
      <c r="V39" s="3">
        <v>6.5427250170083204E-2</v>
      </c>
      <c r="W39" s="3">
        <v>3.2209545651386798E-2</v>
      </c>
      <c r="X39" s="4">
        <v>-3.0999999999999999E-3</v>
      </c>
      <c r="Y39" s="4">
        <v>8.0000000000000004E-4</v>
      </c>
      <c r="Z39" s="4">
        <v>3.0000000000000001E-3</v>
      </c>
      <c r="AA39" s="4">
        <v>3.2000000000000002E-3</v>
      </c>
      <c r="AB39" s="4">
        <v>1.1999999999999999E-3</v>
      </c>
      <c r="AC39" s="4">
        <v>2.8E-3</v>
      </c>
      <c r="AD39" s="4">
        <v>1.6999999999999999E-3</v>
      </c>
      <c r="AE39" s="4">
        <v>2.3999999999999998E-3</v>
      </c>
      <c r="AF39" s="4">
        <v>3.0000000000000001E-3</v>
      </c>
      <c r="AG39" s="4">
        <v>3.0000000000000001E-3</v>
      </c>
      <c r="AH39" s="4">
        <v>2.3999999999999998E-3</v>
      </c>
      <c r="AI39" s="4">
        <v>2.5000000000000001E-3</v>
      </c>
      <c r="AJ39" s="4">
        <v>5.4000000000000003E-3</v>
      </c>
      <c r="AK39" s="4">
        <v>3.5999999999999999E-3</v>
      </c>
      <c r="AL39" s="4">
        <f t="shared" si="4"/>
        <v>3.1899999999999998E-2</v>
      </c>
      <c r="AM39" s="4">
        <f t="shared" si="5"/>
        <v>1.4550990599999994E-3</v>
      </c>
    </row>
    <row r="40" spans="1:39" x14ac:dyDescent="0.2">
      <c r="A40" s="16">
        <v>45322</v>
      </c>
      <c r="B40" s="15">
        <v>-3.5123515699999998E-3</v>
      </c>
      <c r="C40" s="11">
        <f t="shared" si="3"/>
        <v>-3.9290182366666666E-3</v>
      </c>
      <c r="D40">
        <v>2.8E-3</v>
      </c>
      <c r="E40">
        <v>-1.5E-3</v>
      </c>
      <c r="F40">
        <v>1.5900000000000001E-2</v>
      </c>
      <c r="G40">
        <v>5.9999999999999995E-4</v>
      </c>
      <c r="H40">
        <v>1E-3</v>
      </c>
      <c r="I40">
        <v>1.5E-3</v>
      </c>
      <c r="J40" s="3">
        <v>8.6721920546049505E-2</v>
      </c>
      <c r="K40" s="3">
        <v>2.2183320937799102E-2</v>
      </c>
      <c r="L40" s="3">
        <v>6.0670618741414099E-2</v>
      </c>
      <c r="M40" s="3">
        <v>6.8830498445231106E-2</v>
      </c>
      <c r="N40" s="3">
        <v>0.16440078314429399</v>
      </c>
      <c r="O40" s="3">
        <v>8.07084332595501E-2</v>
      </c>
      <c r="P40" s="3">
        <v>1.6366259355843502E-2</v>
      </c>
      <c r="Q40" s="3">
        <v>6.3419244686350698E-2</v>
      </c>
      <c r="R40" s="3">
        <v>8.9319943846119104E-2</v>
      </c>
      <c r="S40" s="3">
        <v>7.3190006544344294E-2</v>
      </c>
      <c r="T40" s="3">
        <v>0.105809695167147</v>
      </c>
      <c r="U40" s="3">
        <v>6.3387642242911102E-2</v>
      </c>
      <c r="V40" s="3">
        <v>6.9730599258935003E-2</v>
      </c>
      <c r="W40" s="3">
        <v>3.5261033824009698E-2</v>
      </c>
      <c r="X40" s="4">
        <v>1.1999999999999999E-3</v>
      </c>
      <c r="Y40" s="4">
        <v>-1E-3</v>
      </c>
      <c r="Z40" s="4">
        <v>-5.0000000000000001E-4</v>
      </c>
      <c r="AA40" s="4">
        <v>-2.2000000000000001E-3</v>
      </c>
      <c r="AB40" s="4">
        <v>-2.3999999999999998E-3</v>
      </c>
      <c r="AC40" s="4">
        <v>-5.0000000000000001E-4</v>
      </c>
      <c r="AD40" s="4">
        <v>-8.9999999999999998E-4</v>
      </c>
      <c r="AE40" s="4">
        <v>2.2000000000000001E-3</v>
      </c>
      <c r="AF40" s="4">
        <v>1E-4</v>
      </c>
      <c r="AG40" s="4">
        <v>1.2999999999999999E-3</v>
      </c>
      <c r="AH40" s="4">
        <v>4.0000000000000002E-4</v>
      </c>
      <c r="AI40" s="4">
        <v>-1E-4</v>
      </c>
      <c r="AJ40" s="4">
        <v>-1.6000000000000001E-3</v>
      </c>
      <c r="AK40" s="4">
        <v>-1.8E-3</v>
      </c>
      <c r="AL40" s="4">
        <f t="shared" si="4"/>
        <v>-5.7999999999999996E-3</v>
      </c>
      <c r="AM40" s="4">
        <f t="shared" si="5"/>
        <v>-2.2876484299999998E-3</v>
      </c>
    </row>
    <row r="41" spans="1:39" x14ac:dyDescent="0.2">
      <c r="A41" s="16">
        <v>45351</v>
      </c>
      <c r="B41" s="15">
        <v>8.313743719999999E-3</v>
      </c>
      <c r="C41" s="11">
        <f t="shared" si="3"/>
        <v>7.8970770533333332E-3</v>
      </c>
      <c r="D41">
        <v>4.5100000000000001E-2</v>
      </c>
      <c r="E41">
        <v>-1.4800000000000001E-2</v>
      </c>
      <c r="F41">
        <v>5.2200000000000003E-2</v>
      </c>
      <c r="G41">
        <v>1.52E-2</v>
      </c>
      <c r="H41">
        <v>2.1100000000000001E-2</v>
      </c>
      <c r="I41">
        <v>2.7099999999999999E-2</v>
      </c>
      <c r="J41" s="3">
        <v>8.0987696244355895E-2</v>
      </c>
      <c r="K41" s="3">
        <v>3.1596630937530901E-2</v>
      </c>
      <c r="L41" s="3">
        <v>9.2044654149855396E-2</v>
      </c>
      <c r="M41" s="3">
        <v>2.7320807098485E-2</v>
      </c>
      <c r="N41" s="3">
        <v>0.111533374777123</v>
      </c>
      <c r="O41" s="3">
        <v>0.123865892454591</v>
      </c>
      <c r="P41" s="3">
        <v>2.2155462703539901E-2</v>
      </c>
      <c r="Q41" s="3">
        <v>8.9968796966979903E-2</v>
      </c>
      <c r="R41" s="3">
        <v>4.1038804595729401E-2</v>
      </c>
      <c r="S41" s="3">
        <v>0.115537468371741</v>
      </c>
      <c r="T41" s="3">
        <v>4.89647696621631E-2</v>
      </c>
      <c r="U41" s="3">
        <v>9.52611914778283E-2</v>
      </c>
      <c r="V41" s="3">
        <v>6.5357184450656705E-2</v>
      </c>
      <c r="W41" s="3">
        <v>5.4367266109418597E-2</v>
      </c>
      <c r="X41" s="4">
        <v>-1.2999999999999999E-3</v>
      </c>
      <c r="Y41" s="4">
        <v>1.1999999999999999E-3</v>
      </c>
      <c r="Z41" s="4">
        <v>2E-3</v>
      </c>
      <c r="AA41" s="4">
        <v>0</v>
      </c>
      <c r="AB41" s="4">
        <v>1E-3</v>
      </c>
      <c r="AC41" s="4">
        <v>-8.0000000000000004E-4</v>
      </c>
      <c r="AD41" s="4">
        <v>-8.0000000000000004E-4</v>
      </c>
      <c r="AE41" s="4">
        <v>3.7000000000000002E-3</v>
      </c>
      <c r="AF41" s="4">
        <v>-5.0000000000000001E-4</v>
      </c>
      <c r="AG41" s="4">
        <v>5.4999999999999997E-3</v>
      </c>
      <c r="AH41" s="4">
        <v>-4.0000000000000002E-4</v>
      </c>
      <c r="AI41" s="4">
        <v>-1.6000000000000001E-3</v>
      </c>
      <c r="AJ41" s="4">
        <v>-1.4E-3</v>
      </c>
      <c r="AK41" s="4">
        <v>8.0000000000000004E-4</v>
      </c>
      <c r="AL41" s="4">
        <f t="shared" si="4"/>
        <v>7.4000000000000003E-3</v>
      </c>
      <c r="AM41" s="4">
        <f t="shared" si="5"/>
        <v>-9.137437199999987E-4</v>
      </c>
    </row>
    <row r="42" spans="1:39" x14ac:dyDescent="0.2">
      <c r="A42" s="16">
        <v>45382</v>
      </c>
      <c r="B42" s="15">
        <v>2.9890826820000001E-2</v>
      </c>
      <c r="C42" s="11">
        <f t="shared" si="3"/>
        <v>2.9474160153333335E-2</v>
      </c>
      <c r="D42">
        <v>3.2599999999999997E-2</v>
      </c>
      <c r="E42">
        <v>8.9999999999999993E-3</v>
      </c>
      <c r="F42">
        <v>3.27E-2</v>
      </c>
      <c r="G42">
        <v>2.0799999999999999E-2</v>
      </c>
      <c r="H42">
        <v>2.3199999999999998E-2</v>
      </c>
      <c r="I42">
        <v>2.5499999999999998E-2</v>
      </c>
      <c r="J42" s="3">
        <v>9.4027444651640701E-2</v>
      </c>
      <c r="K42" s="3">
        <v>3.1606413933864402E-2</v>
      </c>
      <c r="L42" s="3">
        <v>8.9393511776461598E-2</v>
      </c>
      <c r="M42" s="3">
        <v>2.65026493057589E-2</v>
      </c>
      <c r="N42" s="3">
        <v>9.1999397346127096E-2</v>
      </c>
      <c r="O42" s="3">
        <v>0.11855904255617999</v>
      </c>
      <c r="P42" s="3">
        <v>2.54772486583431E-2</v>
      </c>
      <c r="Q42" s="3">
        <v>0.10613825862571</v>
      </c>
      <c r="R42" s="3">
        <v>3.7772263166125399E-2</v>
      </c>
      <c r="S42" s="3">
        <v>0.115154329022974</v>
      </c>
      <c r="T42" s="3">
        <v>4.4403888917786703E-2</v>
      </c>
      <c r="U42" s="3">
        <v>9.4746243268396896E-2</v>
      </c>
      <c r="V42" s="3">
        <v>6.26612516903685E-2</v>
      </c>
      <c r="W42" s="3">
        <v>6.1558057080260201E-2</v>
      </c>
      <c r="X42" s="4">
        <v>4.1000000000000003E-3</v>
      </c>
      <c r="Y42" s="4">
        <v>8.9999999999999998E-4</v>
      </c>
      <c r="Z42" s="4">
        <v>3.3E-3</v>
      </c>
      <c r="AA42" s="4">
        <v>1E-4</v>
      </c>
      <c r="AB42" s="4">
        <v>8.2000000000000007E-3</v>
      </c>
      <c r="AC42" s="4">
        <v>1.2999999999999999E-3</v>
      </c>
      <c r="AD42" s="4">
        <v>1.4E-3</v>
      </c>
      <c r="AE42" s="4">
        <v>3.2000000000000002E-3</v>
      </c>
      <c r="AF42" s="4">
        <v>2.9999999999999997E-4</v>
      </c>
      <c r="AG42" s="4">
        <v>3.8E-3</v>
      </c>
      <c r="AH42" s="4">
        <v>2.9999999999999997E-4</v>
      </c>
      <c r="AI42" s="4">
        <v>8.0000000000000004E-4</v>
      </c>
      <c r="AJ42" s="4">
        <v>5.0000000000000001E-4</v>
      </c>
      <c r="AK42" s="4">
        <v>1.1000000000000001E-3</v>
      </c>
      <c r="AL42" s="4">
        <f t="shared" si="4"/>
        <v>2.9300000000000003E-2</v>
      </c>
      <c r="AM42" s="4">
        <f t="shared" si="5"/>
        <v>-5.9082681999999762E-4</v>
      </c>
    </row>
    <row r="43" spans="1:39" x14ac:dyDescent="0.2">
      <c r="A43" s="16">
        <v>45412</v>
      </c>
      <c r="B43" s="15">
        <v>-2.319141965E-2</v>
      </c>
      <c r="C43" s="11">
        <f t="shared" si="3"/>
        <v>-2.3608086316666665E-2</v>
      </c>
      <c r="D43">
        <v>-3.5499999999999997E-2</v>
      </c>
      <c r="E43">
        <v>-2.4799999999999999E-2</v>
      </c>
      <c r="F43">
        <v>-4.0300000000000002E-2</v>
      </c>
      <c r="G43">
        <v>-3.0099999999999998E-2</v>
      </c>
      <c r="H43">
        <v>-3.1199999999999999E-2</v>
      </c>
      <c r="I43">
        <v>-3.2300000000000002E-2</v>
      </c>
      <c r="J43" s="3">
        <v>0.114116411512502</v>
      </c>
      <c r="K43" s="3">
        <v>2.69437953514601E-2</v>
      </c>
      <c r="L43" s="3">
        <v>8.1538693880129201E-2</v>
      </c>
      <c r="M43" s="3">
        <v>3.4821805259077E-2</v>
      </c>
      <c r="N43" s="3">
        <v>9.6705064519634398E-2</v>
      </c>
      <c r="O43" s="3">
        <v>0.117822881727235</v>
      </c>
      <c r="P43" s="3">
        <v>2.6388515643046902E-2</v>
      </c>
      <c r="Q43" s="3">
        <v>8.5742745216158003E-2</v>
      </c>
      <c r="R43" s="3">
        <v>3.8359540542988499E-2</v>
      </c>
      <c r="S43" s="3">
        <v>9.69313562269533E-2</v>
      </c>
      <c r="T43" s="3">
        <v>6.1392108501819601E-2</v>
      </c>
      <c r="U43" s="3">
        <v>9.3728741897429996E-2</v>
      </c>
      <c r="V43" s="3">
        <v>6.2708186789139003E-2</v>
      </c>
      <c r="W43" s="3">
        <v>6.2800152932425704E-2</v>
      </c>
      <c r="X43" s="4">
        <v>1.6999999999999999E-3</v>
      </c>
      <c r="Y43" s="4">
        <v>0</v>
      </c>
      <c r="Z43" s="4">
        <v>-1.9E-3</v>
      </c>
      <c r="AA43" s="4">
        <v>-1.1999999999999999E-3</v>
      </c>
      <c r="AB43" s="4">
        <v>2.8E-3</v>
      </c>
      <c r="AC43" s="4">
        <v>-1.6999999999999999E-3</v>
      </c>
      <c r="AD43" s="4">
        <v>-1.2999999999999999E-3</v>
      </c>
      <c r="AE43" s="4">
        <v>-5.3E-3</v>
      </c>
      <c r="AF43" s="4">
        <v>-1.1999999999999999E-3</v>
      </c>
      <c r="AG43" s="4">
        <v>-3.8999999999999998E-3</v>
      </c>
      <c r="AH43" s="4">
        <v>-8.9999999999999998E-4</v>
      </c>
      <c r="AI43" s="4">
        <v>-2.3E-3</v>
      </c>
      <c r="AJ43" s="4">
        <v>-4.1000000000000003E-3</v>
      </c>
      <c r="AK43" s="4">
        <v>-5.1000000000000004E-3</v>
      </c>
      <c r="AL43" s="4">
        <f t="shared" si="4"/>
        <v>-2.4400000000000002E-2</v>
      </c>
      <c r="AM43" s="4">
        <f t="shared" si="5"/>
        <v>-1.208580350000002E-3</v>
      </c>
    </row>
    <row r="44" spans="1:39" x14ac:dyDescent="0.2">
      <c r="A44" s="16">
        <v>45443</v>
      </c>
      <c r="B44" s="15">
        <v>2.1231379759999999E-2</v>
      </c>
      <c r="C44" s="11">
        <f t="shared" ref="C44:C75" si="6">+B44-$E$1/12</f>
        <v>2.0814713093333333E-2</v>
      </c>
      <c r="D44">
        <v>4.58E-2</v>
      </c>
      <c r="E44">
        <v>1.67E-2</v>
      </c>
      <c r="F44">
        <v>5.0599999999999999E-2</v>
      </c>
      <c r="G44">
        <v>3.1199999999999999E-2</v>
      </c>
      <c r="H44">
        <v>3.4099999999999998E-2</v>
      </c>
      <c r="I44">
        <v>3.6999999999999998E-2</v>
      </c>
      <c r="J44" s="12">
        <v>0.122948024683495</v>
      </c>
      <c r="K44" s="12">
        <v>2.78497569822455E-2</v>
      </c>
      <c r="L44" s="12">
        <v>7.9459054388406503E-2</v>
      </c>
      <c r="M44" s="12">
        <v>3.8302046896829402E-2</v>
      </c>
      <c r="N44" s="12">
        <v>8.9213160627938104E-2</v>
      </c>
      <c r="O44" s="12">
        <v>0.140043328444831</v>
      </c>
      <c r="P44" s="12">
        <v>2.20805024522381E-2</v>
      </c>
      <c r="Q44" s="12">
        <v>7.7883741151171706E-2</v>
      </c>
      <c r="R44" s="12">
        <v>4.1699110542233901E-2</v>
      </c>
      <c r="S44" s="12">
        <v>8.3115921260135298E-2</v>
      </c>
      <c r="T44" s="12">
        <v>7.0325038667809703E-2</v>
      </c>
      <c r="U44" s="12">
        <v>9.1465571031943693E-2</v>
      </c>
      <c r="V44" s="12">
        <v>6.4625192066277301E-2</v>
      </c>
      <c r="W44" s="12">
        <v>5.0989550804442903E-2</v>
      </c>
      <c r="X44" s="4">
        <v>-2.9999999999999997E-4</v>
      </c>
      <c r="Y44" s="4">
        <v>5.9999999999999995E-4</v>
      </c>
      <c r="Z44" s="4">
        <v>4.7000000000000002E-3</v>
      </c>
      <c r="AA44" s="4">
        <v>5.0000000000000001E-4</v>
      </c>
      <c r="AB44" s="4">
        <v>1.5E-3</v>
      </c>
      <c r="AC44" s="4">
        <v>4.0000000000000002E-4</v>
      </c>
      <c r="AD44" s="4">
        <v>5.0000000000000001E-4</v>
      </c>
      <c r="AE44" s="4">
        <v>2E-3</v>
      </c>
      <c r="AF44" s="4">
        <v>6.9999999999999999E-4</v>
      </c>
      <c r="AG44" s="4">
        <v>4.1000000000000003E-3</v>
      </c>
      <c r="AH44" s="4">
        <v>1.1999999999999999E-3</v>
      </c>
      <c r="AI44" s="4">
        <v>1.5E-3</v>
      </c>
      <c r="AJ44" s="4">
        <v>1.8E-3</v>
      </c>
      <c r="AK44" s="4">
        <v>2.5000000000000001E-3</v>
      </c>
      <c r="AL44" s="4">
        <f t="shared" si="4"/>
        <v>2.1699999999999997E-2</v>
      </c>
      <c r="AM44" s="4">
        <f t="shared" si="5"/>
        <v>4.6862023999999849E-4</v>
      </c>
    </row>
    <row r="45" spans="1:39" x14ac:dyDescent="0.2">
      <c r="A45" s="16">
        <v>45473</v>
      </c>
      <c r="B45" s="15">
        <v>5.5355862800000001E-3</v>
      </c>
      <c r="C45" s="11">
        <f t="shared" si="6"/>
        <v>5.1189196133333333E-3</v>
      </c>
      <c r="D45">
        <v>2.0400000000000001E-2</v>
      </c>
      <c r="E45">
        <v>8.8000000000000005E-3</v>
      </c>
      <c r="F45">
        <v>3.5299999999999998E-2</v>
      </c>
      <c r="G45">
        <v>1.46E-2</v>
      </c>
      <c r="H45">
        <v>1.5800000000000002E-2</v>
      </c>
      <c r="I45">
        <v>1.6899999999999998E-2</v>
      </c>
      <c r="J45" s="12">
        <v>9.7653206303200998E-2</v>
      </c>
      <c r="K45" s="12">
        <v>3.2263249259060697E-2</v>
      </c>
      <c r="L45" s="12">
        <v>8.08466916658723E-2</v>
      </c>
      <c r="M45" s="12">
        <v>3.5378728151613401E-2</v>
      </c>
      <c r="N45" s="12">
        <v>8.2548069607128904E-2</v>
      </c>
      <c r="O45" s="12">
        <v>0.14569491181428601</v>
      </c>
      <c r="P45" s="12">
        <v>2.3405409504412899E-2</v>
      </c>
      <c r="Q45" s="12">
        <v>6.4141238328077194E-2</v>
      </c>
      <c r="R45" s="12">
        <v>4.8368066533060999E-2</v>
      </c>
      <c r="S45" s="12">
        <v>8.7106772116116005E-2</v>
      </c>
      <c r="T45" s="12">
        <v>7.2982166860088099E-2</v>
      </c>
      <c r="U45" s="12">
        <v>0.101940487071322</v>
      </c>
      <c r="V45" s="12">
        <v>7.4081238494323104E-2</v>
      </c>
      <c r="W45" s="12">
        <v>5.3589764291436401E-2</v>
      </c>
      <c r="X45" s="4">
        <v>-5.0000000000000001E-4</v>
      </c>
      <c r="Y45" s="4">
        <v>8.0000000000000004E-4</v>
      </c>
      <c r="Z45" s="4">
        <v>-2.3E-3</v>
      </c>
      <c r="AA45" s="4">
        <v>-2.9999999999999997E-4</v>
      </c>
      <c r="AB45" s="4">
        <v>0</v>
      </c>
      <c r="AC45" s="4">
        <v>8.9999999999999998E-4</v>
      </c>
      <c r="AD45" s="4">
        <v>-8.9999999999999998E-4</v>
      </c>
      <c r="AE45" s="4">
        <v>-1E-4</v>
      </c>
      <c r="AF45" s="4">
        <v>5.0000000000000001E-4</v>
      </c>
      <c r="AG45" s="4">
        <v>3.0999999999999999E-3</v>
      </c>
      <c r="AH45" s="4">
        <v>5.0000000000000001E-4</v>
      </c>
      <c r="AI45" s="4">
        <v>8.0000000000000004E-4</v>
      </c>
      <c r="AJ45" s="4">
        <v>1.1999999999999999E-3</v>
      </c>
      <c r="AK45" s="4">
        <v>1E-3</v>
      </c>
      <c r="AL45" s="4">
        <f t="shared" si="4"/>
        <v>4.7000000000000002E-3</v>
      </c>
      <c r="AM45" s="4">
        <f t="shared" si="5"/>
        <v>-8.3558627999999989E-4</v>
      </c>
    </row>
    <row r="46" spans="1:39" x14ac:dyDescent="0.2">
      <c r="A46" s="16">
        <v>45504</v>
      </c>
      <c r="B46" s="15">
        <v>2.5783467189999999E-2</v>
      </c>
      <c r="C46" s="11">
        <f t="shared" si="6"/>
        <v>2.5366800523333333E-2</v>
      </c>
      <c r="D46" s="10">
        <v>1.54E-2</v>
      </c>
      <c r="E46" s="10">
        <v>2.4199999999999999E-2</v>
      </c>
      <c r="F46">
        <v>1.21E-2</v>
      </c>
      <c r="G46">
        <v>1.9800000000000002E-2</v>
      </c>
      <c r="H46">
        <v>1.89E-2</v>
      </c>
      <c r="I46">
        <v>1.7999999999999999E-2</v>
      </c>
      <c r="J46" s="12">
        <v>8.4640342219483397E-2</v>
      </c>
      <c r="K46" s="12">
        <v>3.2386969058933603E-2</v>
      </c>
      <c r="L46" s="12">
        <v>8.2882963278632704E-2</v>
      </c>
      <c r="M46" s="12">
        <v>3.2860032473064599E-2</v>
      </c>
      <c r="N46" s="12">
        <v>7.2607063021934495E-2</v>
      </c>
      <c r="O46" s="12">
        <v>0.14863645203977999</v>
      </c>
      <c r="P46" s="12">
        <v>2.35839731615624E-2</v>
      </c>
      <c r="Q46" s="12">
        <v>7.7009754030697306E-2</v>
      </c>
      <c r="R46" s="12">
        <v>4.5743689165609502E-2</v>
      </c>
      <c r="S46" s="12">
        <v>0.103472343909741</v>
      </c>
      <c r="T46" s="12">
        <v>6.1776984720323898E-2</v>
      </c>
      <c r="U46" s="12">
        <v>0.10192419548175401</v>
      </c>
      <c r="V46" s="12">
        <v>6.9709695389751095E-2</v>
      </c>
      <c r="W46" s="12">
        <v>6.2765542048731096E-2</v>
      </c>
      <c r="X46" s="4">
        <v>-2.0999999999999999E-3</v>
      </c>
      <c r="Y46" s="4">
        <v>2.9999999999999997E-4</v>
      </c>
      <c r="Z46" s="4">
        <v>1.6999999999999999E-3</v>
      </c>
      <c r="AA46" s="4">
        <v>1.1999999999999999E-3</v>
      </c>
      <c r="AB46" s="4">
        <v>3.8999999999999998E-3</v>
      </c>
      <c r="AC46" s="4">
        <v>3.0999999999999999E-3</v>
      </c>
      <c r="AD46" s="4">
        <v>1.5E-3</v>
      </c>
      <c r="AE46" s="4">
        <v>3.2000000000000002E-3</v>
      </c>
      <c r="AF46" s="4">
        <v>1.2999999999999999E-3</v>
      </c>
      <c r="AG46" s="4">
        <v>1.2999999999999999E-3</v>
      </c>
      <c r="AH46" s="4">
        <v>1E-3</v>
      </c>
      <c r="AI46" s="4">
        <v>2.5000000000000001E-3</v>
      </c>
      <c r="AJ46" s="4">
        <v>2.5000000000000001E-3</v>
      </c>
      <c r="AK46" s="4">
        <v>4.7999999999999996E-3</v>
      </c>
      <c r="AL46" s="4">
        <f t="shared" si="4"/>
        <v>2.6199999999999994E-2</v>
      </c>
      <c r="AM46" s="4">
        <f t="shared" si="5"/>
        <v>4.1653280999999487E-4</v>
      </c>
    </row>
    <row r="47" spans="1:39" x14ac:dyDescent="0.2">
      <c r="A47" s="16">
        <v>45535</v>
      </c>
      <c r="B47" s="15">
        <v>1.3790962049999999E-2</v>
      </c>
      <c r="C47" s="11">
        <f t="shared" si="6"/>
        <v>1.3374295383333333E-2</v>
      </c>
      <c r="D47" s="10">
        <v>2.5000000000000001E-2</v>
      </c>
      <c r="E47" s="10">
        <v>1.46E-2</v>
      </c>
      <c r="F47">
        <v>2.3400000000000001E-2</v>
      </c>
      <c r="G47">
        <v>1.9800000000000002E-2</v>
      </c>
      <c r="H47">
        <v>2.0799999999999999E-2</v>
      </c>
      <c r="I47">
        <v>2.1899999999999999E-2</v>
      </c>
      <c r="J47" s="12">
        <v>8.1017529585991593E-2</v>
      </c>
      <c r="K47" s="12">
        <v>2.02684282474162E-2</v>
      </c>
      <c r="L47" s="12">
        <v>5.3081188758003398E-2</v>
      </c>
      <c r="M47" s="12">
        <v>6.9938362513816896E-2</v>
      </c>
      <c r="N47" s="12">
        <v>9.8383262257003501E-2</v>
      </c>
      <c r="O47" s="12">
        <v>9.1935977495892801E-2</v>
      </c>
      <c r="P47" s="12">
        <v>1.7699257443244201E-2</v>
      </c>
      <c r="Q47" s="12">
        <v>4.5674110503608402E-2</v>
      </c>
      <c r="R47" s="12">
        <v>0.108082446634008</v>
      </c>
      <c r="S47" s="12">
        <v>6.73705035048099E-2</v>
      </c>
      <c r="T47" s="12">
        <v>0.13222787065677499</v>
      </c>
      <c r="U47" s="12">
        <v>7.5788503667806095E-2</v>
      </c>
      <c r="V47" s="12">
        <v>8.3875190904610805E-2</v>
      </c>
      <c r="W47" s="12">
        <v>5.4657367827012103E-2</v>
      </c>
      <c r="X47" s="4">
        <v>-1.6000000000000001E-3</v>
      </c>
      <c r="Y47" s="4">
        <v>0</v>
      </c>
      <c r="Z47" s="4">
        <v>1.6000000000000001E-3</v>
      </c>
      <c r="AA47" s="4">
        <v>2.0999999999999999E-3</v>
      </c>
      <c r="AB47" s="4">
        <v>2.2000000000000001E-3</v>
      </c>
      <c r="AC47" s="4">
        <v>5.0000000000000001E-4</v>
      </c>
      <c r="AD47" s="4">
        <v>1.1000000000000001E-3</v>
      </c>
      <c r="AE47" s="4">
        <v>-8.0000000000000004E-4</v>
      </c>
      <c r="AF47" s="4">
        <v>1.1999999999999999E-3</v>
      </c>
      <c r="AG47" s="4">
        <v>1.1000000000000001E-3</v>
      </c>
      <c r="AH47" s="4">
        <v>1E-3</v>
      </c>
      <c r="AI47" s="4">
        <v>1.1999999999999999E-3</v>
      </c>
      <c r="AJ47" s="4">
        <v>1.6999999999999999E-3</v>
      </c>
      <c r="AK47" s="4">
        <v>3.0000000000000001E-3</v>
      </c>
      <c r="AL47" s="4">
        <f t="shared" si="4"/>
        <v>1.43E-2</v>
      </c>
      <c r="AM47" s="4">
        <f t="shared" si="5"/>
        <v>5.0903795000000092E-4</v>
      </c>
    </row>
    <row r="48" spans="1:39" x14ac:dyDescent="0.2">
      <c r="A48" s="16">
        <v>45565</v>
      </c>
      <c r="B48" s="15">
        <v>1.7712838450000001E-2</v>
      </c>
      <c r="C48" s="11">
        <f t="shared" si="6"/>
        <v>1.7296171783333335E-2</v>
      </c>
      <c r="D48" s="10">
        <v>2.1999999999999999E-2</v>
      </c>
      <c r="E48" s="10">
        <v>1.3299999999999999E-2</v>
      </c>
      <c r="F48">
        <v>2.1000000000000001E-2</v>
      </c>
      <c r="G48">
        <v>1.7600000000000001E-2</v>
      </c>
      <c r="H48">
        <v>1.8499999999999999E-2</v>
      </c>
      <c r="I48">
        <v>1.9400000000000001E-2</v>
      </c>
      <c r="J48" s="12">
        <v>8.0425946704293302E-2</v>
      </c>
      <c r="K48" s="12">
        <v>1.44440360628015E-2</v>
      </c>
      <c r="L48" s="12">
        <v>4.5332858403234803E-2</v>
      </c>
      <c r="M48" s="12">
        <v>7.2937689945072104E-2</v>
      </c>
      <c r="N48" s="12">
        <v>0.10767208988855501</v>
      </c>
      <c r="O48" s="12">
        <v>0.11694069663176</v>
      </c>
      <c r="P48" s="12">
        <v>1.67502296153632E-2</v>
      </c>
      <c r="Q48" s="12">
        <v>3.4205810660402299E-2</v>
      </c>
      <c r="R48" s="12">
        <v>0.103682907319122</v>
      </c>
      <c r="S48" s="12">
        <v>4.9485027208914102E-2</v>
      </c>
      <c r="T48" s="12">
        <v>0.13416865288635599</v>
      </c>
      <c r="U48" s="12">
        <v>8.1604973272738399E-2</v>
      </c>
      <c r="V48" s="12">
        <v>8.5003511182528094E-2</v>
      </c>
      <c r="W48" s="12">
        <v>5.7345570218856903E-2</v>
      </c>
      <c r="X48" s="4">
        <v>5.9999999999999995E-4</v>
      </c>
      <c r="Y48" s="4">
        <v>6.9999999999999999E-4</v>
      </c>
      <c r="Z48" s="4">
        <v>-1E-4</v>
      </c>
      <c r="AA48" s="4">
        <v>1.6999999999999999E-3</v>
      </c>
      <c r="AB48" s="4">
        <v>5.4999999999999997E-3</v>
      </c>
      <c r="AC48" s="4">
        <v>1.4E-3</v>
      </c>
      <c r="AD48" s="4">
        <v>4.0000000000000002E-4</v>
      </c>
      <c r="AE48" s="4">
        <v>-4.0000000000000002E-4</v>
      </c>
      <c r="AF48" s="4">
        <v>1.5E-3</v>
      </c>
      <c r="AG48" s="4">
        <v>6.9999999999999999E-4</v>
      </c>
      <c r="AH48" s="4">
        <v>2E-3</v>
      </c>
      <c r="AI48" s="4">
        <v>1.1000000000000001E-3</v>
      </c>
      <c r="AJ48" s="4">
        <v>1.6999999999999999E-3</v>
      </c>
      <c r="AK48" s="4">
        <v>1.8E-3</v>
      </c>
      <c r="AL48" s="4">
        <f t="shared" si="4"/>
        <v>1.8599999999999998E-2</v>
      </c>
      <c r="AM48" s="4">
        <f t="shared" si="5"/>
        <v>8.8716154999999783E-4</v>
      </c>
    </row>
    <row r="49" spans="1:39" x14ac:dyDescent="0.2">
      <c r="A49" s="16">
        <v>45596</v>
      </c>
      <c r="B49" s="15">
        <v>-2.0016828640000001E-2</v>
      </c>
      <c r="C49" s="11">
        <f t="shared" si="6"/>
        <v>-2.0433495306666667E-2</v>
      </c>
      <c r="D49" s="10">
        <v>-2.0899999999999998E-2</v>
      </c>
      <c r="E49" s="10">
        <v>-2.52E-2</v>
      </c>
      <c r="F49">
        <v>-8.8999999999999999E-3</v>
      </c>
      <c r="G49">
        <v>-2.3099999999999999E-2</v>
      </c>
      <c r="H49">
        <v>-2.2599999999999999E-2</v>
      </c>
      <c r="I49">
        <v>-2.2200000000000001E-2</v>
      </c>
      <c r="J49" s="12">
        <v>5.8647455571182103E-2</v>
      </c>
      <c r="K49" s="12">
        <v>1.5987390001579199E-2</v>
      </c>
      <c r="L49" s="12">
        <v>5.9966599792462702E-2</v>
      </c>
      <c r="M49" s="12">
        <v>4.5655100948995497E-2</v>
      </c>
      <c r="N49" s="12">
        <v>7.8007495997786294E-2</v>
      </c>
      <c r="O49" s="12">
        <v>0.17776366075157299</v>
      </c>
      <c r="P49" s="12">
        <v>2.2246546784001901E-2</v>
      </c>
      <c r="Q49" s="12">
        <v>4.1395665655580102E-2</v>
      </c>
      <c r="R49" s="12">
        <v>5.3860379706453701E-2</v>
      </c>
      <c r="S49" s="12">
        <v>5.9431149805864801E-2</v>
      </c>
      <c r="T49" s="12">
        <v>8.5760898275012404E-2</v>
      </c>
      <c r="U49" s="12">
        <v>0.135559157004882</v>
      </c>
      <c r="V49" s="12">
        <v>8.2414827912539207E-2</v>
      </c>
      <c r="W49" s="12">
        <v>8.3303671792086004E-2</v>
      </c>
      <c r="X49" s="4">
        <v>1.1999999999999999E-3</v>
      </c>
      <c r="Y49" s="4">
        <v>-5.0000000000000001E-4</v>
      </c>
      <c r="Z49" s="4">
        <v>-3.3E-3</v>
      </c>
      <c r="AA49" s="4">
        <v>-2.3E-3</v>
      </c>
      <c r="AB49" s="4">
        <v>3.7000000000000002E-3</v>
      </c>
      <c r="AC49" s="4">
        <v>-1.6000000000000001E-3</v>
      </c>
      <c r="AD49" s="4">
        <v>-2E-3</v>
      </c>
      <c r="AE49" s="4">
        <v>-2E-3</v>
      </c>
      <c r="AF49" s="4">
        <v>-1.6999999999999999E-3</v>
      </c>
      <c r="AG49" s="4">
        <v>-5.0000000000000001E-4</v>
      </c>
      <c r="AH49" s="4">
        <v>-1.4E-3</v>
      </c>
      <c r="AI49" s="4">
        <v>-3.5999999999999999E-3</v>
      </c>
      <c r="AJ49" s="4">
        <v>-4.4999999999999997E-3</v>
      </c>
      <c r="AK49" s="4">
        <v>-2.8E-3</v>
      </c>
      <c r="AL49" s="4">
        <f t="shared" si="4"/>
        <v>-2.1299999999999999E-2</v>
      </c>
      <c r="AM49" s="4">
        <f t="shared" si="5"/>
        <v>-1.2831713599999982E-3</v>
      </c>
    </row>
    <row r="50" spans="1:39" x14ac:dyDescent="0.2">
      <c r="A50" s="16">
        <v>45626</v>
      </c>
      <c r="B50" s="15">
        <v>9.668813699999999E-3</v>
      </c>
      <c r="C50" s="11">
        <f t="shared" si="6"/>
        <v>9.2521470333333331E-3</v>
      </c>
      <c r="D50" s="10">
        <v>4.0300000000000002E-2</v>
      </c>
      <c r="E50" s="10">
        <v>1.11E-2</v>
      </c>
      <c r="F50">
        <v>5.96E-2</v>
      </c>
      <c r="G50">
        <v>2.5700000000000001E-2</v>
      </c>
      <c r="H50">
        <v>2.86E-2</v>
      </c>
      <c r="I50">
        <v>3.1600000000000003E-2</v>
      </c>
      <c r="J50" s="12">
        <v>5.67E-2</v>
      </c>
      <c r="K50" s="12">
        <v>1.5599999999999999E-2</v>
      </c>
      <c r="L50" s="12">
        <v>6.2100000000000002E-2</v>
      </c>
      <c r="M50" s="12">
        <v>4.2000000000000003E-2</v>
      </c>
      <c r="N50" s="12">
        <v>8.6900000000000005E-2</v>
      </c>
      <c r="O50" s="12">
        <v>0.17199999999999999</v>
      </c>
      <c r="P50" s="12">
        <v>2.23E-2</v>
      </c>
      <c r="Q50" s="12">
        <v>4.2799999999999998E-2</v>
      </c>
      <c r="R50" s="12">
        <v>5.4199999999999998E-2</v>
      </c>
      <c r="S50" s="12">
        <v>6.3100000000000003E-2</v>
      </c>
      <c r="T50" s="12">
        <v>7.7499999999999999E-2</v>
      </c>
      <c r="U50" s="12">
        <v>0.1343</v>
      </c>
      <c r="V50" s="12">
        <v>8.6999999999999994E-2</v>
      </c>
      <c r="W50" s="12">
        <v>8.3599999999999994E-2</v>
      </c>
      <c r="X50" s="4">
        <v>-1.1000000000000001E-3</v>
      </c>
      <c r="Y50" s="4">
        <v>-4.0000000000000002E-4</v>
      </c>
      <c r="Z50" s="4">
        <v>-1.1000000000000001E-3</v>
      </c>
      <c r="AA50" s="4">
        <v>1E-4</v>
      </c>
      <c r="AB50" s="4">
        <v>-2.7000000000000001E-3</v>
      </c>
      <c r="AC50" s="4">
        <v>2.8999999999999998E-3</v>
      </c>
      <c r="AD50" s="4">
        <v>-2.9999999999999997E-4</v>
      </c>
      <c r="AE50" s="4">
        <v>1E-3</v>
      </c>
      <c r="AF50" s="4">
        <v>5.9999999999999995E-4</v>
      </c>
      <c r="AG50" s="4">
        <v>3.7000000000000002E-3</v>
      </c>
      <c r="AH50" s="4">
        <v>4.0000000000000002E-4</v>
      </c>
      <c r="AI50" s="4">
        <v>1.5E-3</v>
      </c>
      <c r="AJ50" s="4">
        <v>1.9E-3</v>
      </c>
      <c r="AK50" s="4">
        <v>3.5000000000000001E-3</v>
      </c>
      <c r="AL50" s="4">
        <f t="shared" si="4"/>
        <v>0.01</v>
      </c>
      <c r="AM50" s="4">
        <f t="shared" si="5"/>
        <v>3.3118630000000121E-4</v>
      </c>
    </row>
    <row r="51" spans="1:39" x14ac:dyDescent="0.2">
      <c r="A51" s="16">
        <v>45657</v>
      </c>
      <c r="B51" s="15">
        <v>-2.4595338469999999E-2</v>
      </c>
      <c r="C51" s="11">
        <f t="shared" si="6"/>
        <v>-2.5012005136666664E-2</v>
      </c>
      <c r="D51" s="10">
        <v>-2.6499999999999999E-2</v>
      </c>
      <c r="E51" s="10">
        <v>-1.6899999999999998E-2</v>
      </c>
      <c r="F51">
        <v>-2.41E-2</v>
      </c>
      <c r="G51">
        <v>-2.1700000000000001E-2</v>
      </c>
      <c r="H51">
        <v>-2.2700000000000001E-2</v>
      </c>
      <c r="I51">
        <v>-2.3699999999999999E-2</v>
      </c>
      <c r="J51" s="12">
        <v>5.1200000000000002E-2</v>
      </c>
      <c r="K51" s="12">
        <v>2.0899999999999998E-2</v>
      </c>
      <c r="L51" s="12">
        <v>6.8900000000000003E-2</v>
      </c>
      <c r="M51" s="12">
        <v>2.8299999999999999E-2</v>
      </c>
      <c r="N51" s="12">
        <v>6.59E-2</v>
      </c>
      <c r="O51" s="12">
        <v>0.18740000000000001</v>
      </c>
      <c r="P51" s="12">
        <v>2.7799999999999998E-2</v>
      </c>
      <c r="Q51" s="12">
        <v>5.7599999999999998E-2</v>
      </c>
      <c r="R51" s="12">
        <v>4.4999999999999998E-2</v>
      </c>
      <c r="S51" s="12">
        <v>0.1149</v>
      </c>
      <c r="T51" s="12">
        <v>6.0699999999999997E-2</v>
      </c>
      <c r="U51" s="12">
        <v>0.123</v>
      </c>
      <c r="V51" s="12">
        <v>6.6900000000000001E-2</v>
      </c>
      <c r="W51" s="12">
        <v>8.1299999999999997E-2</v>
      </c>
      <c r="X51" s="7">
        <v>8.9999999999999998E-4</v>
      </c>
      <c r="Y51" s="7">
        <v>-4.0000000000000002E-4</v>
      </c>
      <c r="Z51" s="7">
        <v>-2E-3</v>
      </c>
      <c r="AA51" s="7">
        <v>-1E-3</v>
      </c>
      <c r="AB51" s="7">
        <v>-1.1000000000000001E-3</v>
      </c>
      <c r="AC51" s="7">
        <v>-1.5E-3</v>
      </c>
      <c r="AD51" s="7">
        <v>-1.6999999999999999E-3</v>
      </c>
      <c r="AE51" s="7">
        <v>-1.4E-3</v>
      </c>
      <c r="AF51" s="4">
        <v>-1E-3</v>
      </c>
      <c r="AG51" s="4">
        <v>-2.8999999999999998E-3</v>
      </c>
      <c r="AH51" s="4">
        <v>-1.1000000000000001E-3</v>
      </c>
      <c r="AI51" s="4">
        <v>-2.0999999999999999E-3</v>
      </c>
      <c r="AJ51" s="4">
        <v>-4.1999999999999997E-3</v>
      </c>
      <c r="AK51" s="4">
        <v>-6.8999999999999999E-3</v>
      </c>
      <c r="AL51" s="4">
        <f t="shared" si="4"/>
        <v>-2.64E-2</v>
      </c>
      <c r="AM51" s="4">
        <f t="shared" si="5"/>
        <v>-1.8046615300000013E-3</v>
      </c>
    </row>
    <row r="52" spans="1:39" x14ac:dyDescent="0.2">
      <c r="A52" s="16">
        <v>45688</v>
      </c>
      <c r="B52" s="15">
        <v>2.1145858260000001E-2</v>
      </c>
      <c r="C52" s="11">
        <f t="shared" si="6"/>
        <v>2.0729191593333335E-2</v>
      </c>
      <c r="D52" s="10">
        <v>3.1399999999999997E-2</v>
      </c>
      <c r="E52" s="10">
        <v>5.1999999999999998E-3</v>
      </c>
      <c r="F52">
        <v>2.69E-2</v>
      </c>
      <c r="G52">
        <v>1.83E-2</v>
      </c>
      <c r="H52">
        <v>2.0899999999999998E-2</v>
      </c>
      <c r="I52">
        <v>2.35E-2</v>
      </c>
      <c r="J52" s="12">
        <v>8.6699999999999999E-2</v>
      </c>
      <c r="K52" s="12">
        <v>2.2200000000000001E-2</v>
      </c>
      <c r="L52" s="12">
        <v>6.0699999999999997E-2</v>
      </c>
      <c r="M52" s="12">
        <v>6.88E-2</v>
      </c>
      <c r="N52" s="12">
        <v>0.16439999999999999</v>
      </c>
      <c r="O52" s="12">
        <v>8.0699999999999994E-2</v>
      </c>
      <c r="P52" s="12">
        <v>1.6400000000000001E-2</v>
      </c>
      <c r="Q52" s="12">
        <v>6.3399999999999998E-2</v>
      </c>
      <c r="R52" s="12">
        <v>8.9300000000000004E-2</v>
      </c>
      <c r="S52" s="12">
        <v>7.3200000000000001E-2</v>
      </c>
      <c r="T52" s="12">
        <v>0.10580000000000001</v>
      </c>
      <c r="U52" s="12">
        <v>6.3399999999999998E-2</v>
      </c>
      <c r="V52" s="12">
        <v>6.9699999999999998E-2</v>
      </c>
      <c r="W52" s="12">
        <v>3.5299999999999998E-2</v>
      </c>
      <c r="X52" s="7">
        <v>1.6999999999999999E-3</v>
      </c>
      <c r="Y52" s="7">
        <v>5.9999999999999995E-4</v>
      </c>
      <c r="Z52" s="7">
        <v>5.1999999999999998E-3</v>
      </c>
      <c r="AA52" s="7">
        <v>0</v>
      </c>
      <c r="AB52" s="7">
        <v>4.4999999999999997E-3</v>
      </c>
      <c r="AC52" s="7">
        <v>4.0000000000000002E-4</v>
      </c>
      <c r="AD52" s="7">
        <v>1.1000000000000001E-3</v>
      </c>
      <c r="AE52" s="7">
        <v>1.4E-3</v>
      </c>
      <c r="AF52" s="7">
        <v>2.9999999999999997E-4</v>
      </c>
      <c r="AG52" s="7">
        <v>2.8999999999999998E-3</v>
      </c>
      <c r="AH52" s="4">
        <v>8.9999999999999998E-4</v>
      </c>
      <c r="AI52" s="4">
        <v>5.9999999999999995E-4</v>
      </c>
      <c r="AJ52" s="4">
        <v>2.9999999999999997E-4</v>
      </c>
      <c r="AK52" s="4">
        <v>1.1000000000000001E-3</v>
      </c>
      <c r="AL52" s="4">
        <f t="shared" si="4"/>
        <v>2.1000000000000001E-2</v>
      </c>
      <c r="AM52" s="4">
        <f t="shared" si="5"/>
        <v>-1.4585825999999941E-4</v>
      </c>
    </row>
    <row r="53" spans="1:39" x14ac:dyDescent="0.2">
      <c r="A53" s="16">
        <v>45716</v>
      </c>
      <c r="B53" s="15">
        <v>1.5151012530000001E-2</v>
      </c>
      <c r="C53" s="11">
        <f t="shared" si="6"/>
        <v>1.4734345863333335E-2</v>
      </c>
      <c r="D53">
        <v>-3.0000000000000001E-3</v>
      </c>
      <c r="E53">
        <v>2.24E-2</v>
      </c>
      <c r="F53">
        <v>-1.2699999999999999E-2</v>
      </c>
      <c r="G53">
        <v>9.7000000000000003E-3</v>
      </c>
      <c r="H53">
        <v>7.1999999999999998E-3</v>
      </c>
      <c r="I53">
        <v>4.5999999999999999E-3</v>
      </c>
      <c r="J53" s="12">
        <v>8.1000000000000003E-2</v>
      </c>
      <c r="K53" s="12">
        <v>3.1600000000000003E-2</v>
      </c>
      <c r="L53" s="12">
        <v>9.1999999999999998E-2</v>
      </c>
      <c r="M53" s="12">
        <v>2.7300000000000001E-2</v>
      </c>
      <c r="N53" s="12">
        <v>0.1115</v>
      </c>
      <c r="O53" s="12">
        <v>0.1239</v>
      </c>
      <c r="P53" s="12">
        <v>2.2200000000000001E-2</v>
      </c>
      <c r="Q53" s="12">
        <v>0.09</v>
      </c>
      <c r="R53" s="12">
        <v>4.1000000000000002E-2</v>
      </c>
      <c r="S53" s="12">
        <v>0.11550000000000001</v>
      </c>
      <c r="T53" s="12">
        <v>4.9000000000000002E-2</v>
      </c>
      <c r="U53" s="12">
        <v>9.5299999999999996E-2</v>
      </c>
      <c r="V53" s="12">
        <v>6.54E-2</v>
      </c>
      <c r="W53" s="12">
        <v>5.4399999999999997E-2</v>
      </c>
      <c r="X53" s="7">
        <v>0</v>
      </c>
      <c r="Y53" s="4">
        <v>2.9999999999999997E-4</v>
      </c>
      <c r="Z53" s="7">
        <v>3.5999999999999999E-3</v>
      </c>
      <c r="AA53" s="7">
        <v>5.0000000000000001E-4</v>
      </c>
      <c r="AB53" s="7">
        <v>1.2999999999999999E-3</v>
      </c>
      <c r="AC53" s="7">
        <v>1.4E-3</v>
      </c>
      <c r="AD53" s="7">
        <v>4.0000000000000002E-4</v>
      </c>
      <c r="AE53" s="7">
        <v>2.0000000000000001E-4</v>
      </c>
      <c r="AF53" s="7">
        <v>1.2999999999999999E-3</v>
      </c>
      <c r="AG53" s="7">
        <v>-1.2999999999999999E-3</v>
      </c>
      <c r="AH53" s="4">
        <v>1.6000000000000001E-3</v>
      </c>
      <c r="AI53" s="4">
        <v>2.3999999999999998E-3</v>
      </c>
      <c r="AJ53" s="4">
        <v>3.5999999999999999E-3</v>
      </c>
      <c r="AK53" s="4">
        <v>2.2000000000000001E-3</v>
      </c>
      <c r="AL53" s="4">
        <f t="shared" si="4"/>
        <v>1.7499999999999998E-2</v>
      </c>
      <c r="AM53" s="4">
        <f t="shared" si="5"/>
        <v>2.3489874699999976E-3</v>
      </c>
    </row>
    <row r="54" spans="1:39" x14ac:dyDescent="0.2">
      <c r="A54" s="16">
        <v>45747</v>
      </c>
      <c r="B54" s="15">
        <v>1.090611281E-2</v>
      </c>
      <c r="C54" s="11">
        <f t="shared" si="6"/>
        <v>1.0489446143333334E-2</v>
      </c>
      <c r="D54">
        <v>-3.6700000000000003E-2</v>
      </c>
      <c r="E54">
        <v>-2.9999999999999997E-4</v>
      </c>
      <c r="F54">
        <v>-5.57E-2</v>
      </c>
      <c r="G54">
        <v>-1.8499999999999999E-2</v>
      </c>
      <c r="H54">
        <v>-2.2200000000000001E-2</v>
      </c>
      <c r="I54">
        <v>-2.58E-2</v>
      </c>
      <c r="J54" s="12">
        <v>9.4E-2</v>
      </c>
      <c r="K54" s="12">
        <v>3.1600000000000003E-2</v>
      </c>
      <c r="L54" s="12">
        <v>8.9399999999999993E-2</v>
      </c>
      <c r="M54" s="12">
        <v>2.6499999999999999E-2</v>
      </c>
      <c r="N54" s="12">
        <v>9.1999999999999998E-2</v>
      </c>
      <c r="O54" s="12">
        <v>0.1186</v>
      </c>
      <c r="P54" s="12">
        <v>2.5499999999999998E-2</v>
      </c>
      <c r="Q54" s="12">
        <v>0.1061</v>
      </c>
      <c r="R54" s="12">
        <v>3.78E-2</v>
      </c>
      <c r="S54" s="12">
        <v>0.1152</v>
      </c>
      <c r="T54" s="12">
        <v>4.4400000000000002E-2</v>
      </c>
      <c r="U54" s="12">
        <v>9.4700000000000006E-2</v>
      </c>
      <c r="V54" s="12">
        <v>6.2700000000000006E-2</v>
      </c>
      <c r="W54" s="12">
        <v>6.1600000000000002E-2</v>
      </c>
      <c r="X54" s="4">
        <v>2.5000000000000001E-3</v>
      </c>
      <c r="Y54" s="4">
        <v>1E-4</v>
      </c>
      <c r="Z54" s="4">
        <v>5.9999999999999995E-4</v>
      </c>
      <c r="AA54" s="4">
        <v>5.9999999999999995E-4</v>
      </c>
      <c r="AB54" s="4">
        <v>1.14E-2</v>
      </c>
      <c r="AC54" s="4">
        <v>-1.1999999999999999E-3</v>
      </c>
      <c r="AD54" s="4">
        <v>4.0000000000000002E-4</v>
      </c>
      <c r="AE54" s="4">
        <v>4.0000000000000002E-4</v>
      </c>
      <c r="AF54" s="4">
        <v>1E-4</v>
      </c>
      <c r="AG54" s="4">
        <v>-3.3E-3</v>
      </c>
      <c r="AH54" s="4">
        <v>8.0000000000000004E-4</v>
      </c>
      <c r="AI54" s="4">
        <v>1E-4</v>
      </c>
      <c r="AJ54" s="4">
        <v>-1E-3</v>
      </c>
      <c r="AK54" s="4">
        <v>-8.0000000000000004E-4</v>
      </c>
      <c r="AL54" s="4">
        <f t="shared" si="4"/>
        <v>1.0699999999999999E-2</v>
      </c>
      <c r="AM54" s="4">
        <f t="shared" si="5"/>
        <v>-2.0611281000000072E-4</v>
      </c>
    </row>
    <row r="55" spans="1:39" x14ac:dyDescent="0.2">
      <c r="A55" s="16">
        <v>45777</v>
      </c>
      <c r="B55" s="15">
        <v>8.4515751299999997E-3</v>
      </c>
      <c r="C55" s="11">
        <f t="shared" si="6"/>
        <v>8.0349084633333338E-3</v>
      </c>
      <c r="D55">
        <v>5.1999999999999998E-3</v>
      </c>
      <c r="E55">
        <v>4.3E-3</v>
      </c>
      <c r="F55">
        <v>-8.6999999999999994E-3</v>
      </c>
      <c r="G55">
        <v>4.7000000000000002E-3</v>
      </c>
      <c r="H55">
        <v>4.7999999999999996E-3</v>
      </c>
      <c r="I55">
        <v>4.8999999999999998E-3</v>
      </c>
      <c r="J55" s="12">
        <v>0.11409999999999999</v>
      </c>
      <c r="K55" s="12">
        <v>2.69E-2</v>
      </c>
      <c r="L55" s="12">
        <v>8.1500000000000003E-2</v>
      </c>
      <c r="M55" s="12">
        <v>3.4799999999999998E-2</v>
      </c>
      <c r="N55" s="12">
        <v>9.6699999999999994E-2</v>
      </c>
      <c r="O55" s="12">
        <v>0.1178</v>
      </c>
      <c r="P55" s="12">
        <v>2.64E-2</v>
      </c>
      <c r="Q55" s="12">
        <v>8.5699999999999998E-2</v>
      </c>
      <c r="R55" s="12">
        <v>3.8399999999999997E-2</v>
      </c>
      <c r="S55" s="12">
        <v>9.69E-2</v>
      </c>
      <c r="T55" s="12">
        <v>6.1400000000000003E-2</v>
      </c>
      <c r="U55" s="12">
        <v>9.3700000000000006E-2</v>
      </c>
      <c r="V55" s="12">
        <v>6.2700000000000006E-2</v>
      </c>
      <c r="W55" s="12">
        <v>6.2799999999999995E-2</v>
      </c>
      <c r="X55" s="4">
        <v>-8.3000000000000001E-3</v>
      </c>
      <c r="Y55" s="4">
        <v>1E-4</v>
      </c>
      <c r="Z55" s="4">
        <v>1.2999999999999999E-3</v>
      </c>
      <c r="AA55" s="4">
        <v>5.1999999999999998E-3</v>
      </c>
      <c r="AB55" s="4">
        <v>7.9000000000000008E-3</v>
      </c>
      <c r="AC55" s="4">
        <v>1.6999999999999999E-3</v>
      </c>
      <c r="AD55" s="4">
        <v>1.1999999999999999E-3</v>
      </c>
      <c r="AE55" s="4">
        <v>1.2999999999999999E-3</v>
      </c>
      <c r="AF55" s="4">
        <v>1.1000000000000001E-3</v>
      </c>
      <c r="AG55" s="4">
        <v>-2.0000000000000001E-4</v>
      </c>
      <c r="AH55" s="4">
        <v>1E-4</v>
      </c>
      <c r="AI55" s="4">
        <v>2.0000000000000001E-4</v>
      </c>
      <c r="AJ55" s="4">
        <v>-1.1999999999999999E-3</v>
      </c>
      <c r="AK55" s="4">
        <v>-6.9999999999999999E-4</v>
      </c>
      <c r="AL55" s="4">
        <f t="shared" si="4"/>
        <v>9.7000000000000003E-3</v>
      </c>
      <c r="AM55" s="4">
        <f t="shared" si="5"/>
        <v>1.2484248700000006E-3</v>
      </c>
    </row>
    <row r="56" spans="1:39" x14ac:dyDescent="0.2">
      <c r="A56" s="16">
        <v>45808</v>
      </c>
      <c r="B56" s="15">
        <v>-1.424809E-3</v>
      </c>
      <c r="C56" s="11">
        <f t="shared" si="6"/>
        <v>-1.8414756666666667E-3</v>
      </c>
      <c r="D56">
        <v>5.6899999999999999E-2</v>
      </c>
      <c r="E56">
        <v>-6.1000000000000004E-3</v>
      </c>
      <c r="F56">
        <v>6.2799999999999995E-2</v>
      </c>
      <c r="G56">
        <v>2.5399999999999999E-2</v>
      </c>
      <c r="H56">
        <v>3.1699999999999999E-2</v>
      </c>
      <c r="I56">
        <v>3.7999999999999999E-2</v>
      </c>
      <c r="J56" s="12">
        <v>0.1229</v>
      </c>
      <c r="K56" s="12">
        <v>2.7900000000000001E-2</v>
      </c>
      <c r="L56" s="12">
        <v>7.9500000000000001E-2</v>
      </c>
      <c r="M56" s="12">
        <v>3.8300000000000001E-2</v>
      </c>
      <c r="N56" s="12">
        <v>8.9200000000000002E-2</v>
      </c>
      <c r="O56" s="12">
        <v>0.14000000000000001</v>
      </c>
      <c r="P56" s="12">
        <v>2.2100000000000002E-2</v>
      </c>
      <c r="Q56" s="12">
        <v>7.7899999999999997E-2</v>
      </c>
      <c r="R56" s="12">
        <v>4.1700000000000001E-2</v>
      </c>
      <c r="S56" s="12">
        <v>8.3099999999999993E-2</v>
      </c>
      <c r="T56" s="12">
        <v>7.0300000000000001E-2</v>
      </c>
      <c r="U56" s="12">
        <v>9.1499999999999998E-2</v>
      </c>
      <c r="V56" s="12">
        <v>6.4600000000000005E-2</v>
      </c>
      <c r="W56" s="12">
        <v>5.0999999999999997E-2</v>
      </c>
      <c r="X56" s="4">
        <v>1E-3</v>
      </c>
      <c r="Y56" s="4">
        <v>2.9999999999999997E-4</v>
      </c>
      <c r="Z56" s="4">
        <v>1.1000000000000001E-3</v>
      </c>
      <c r="AA56" s="4">
        <v>-4.0000000000000002E-4</v>
      </c>
      <c r="AB56" s="4">
        <v>-4.0000000000000002E-4</v>
      </c>
      <c r="AC56" s="4">
        <v>1E-4</v>
      </c>
      <c r="AD56" s="4">
        <v>2.9999999999999997E-4</v>
      </c>
      <c r="AE56" s="4">
        <v>8.0000000000000004E-4</v>
      </c>
      <c r="AF56" s="4">
        <v>-1.6999999999999999E-3</v>
      </c>
      <c r="AG56" s="4">
        <v>1.2999999999999999E-3</v>
      </c>
      <c r="AH56" s="4">
        <v>-1E-3</v>
      </c>
      <c r="AI56" s="4">
        <v>-5.0000000000000001E-4</v>
      </c>
      <c r="AJ56" s="4">
        <v>-3.0999999999999999E-3</v>
      </c>
      <c r="AK56" s="4">
        <v>2.0000000000000001E-4</v>
      </c>
      <c r="AL56" s="4">
        <f t="shared" si="4"/>
        <v>-1.9999999999999996E-3</v>
      </c>
      <c r="AM56" s="4">
        <f t="shared" si="5"/>
        <v>-5.7519099999999964E-4</v>
      </c>
    </row>
    <row r="57" spans="1:39" x14ac:dyDescent="0.2">
      <c r="A57" s="16">
        <v>45838</v>
      </c>
      <c r="B57" s="15">
        <v>1.7468953379999999E-2</v>
      </c>
      <c r="C57" s="11">
        <f t="shared" si="6"/>
        <v>1.7052286713333333E-2</v>
      </c>
      <c r="D57">
        <v>4.8000000000000001E-2</v>
      </c>
      <c r="E57">
        <v>1.46E-2</v>
      </c>
      <c r="F57">
        <v>5.1400000000000001E-2</v>
      </c>
      <c r="G57">
        <v>3.1300000000000001E-2</v>
      </c>
      <c r="H57">
        <v>3.4599999999999999E-2</v>
      </c>
      <c r="I57">
        <v>3.7999999999999999E-2</v>
      </c>
      <c r="J57" s="12">
        <v>9.7699999999999995E-2</v>
      </c>
      <c r="K57" s="12">
        <v>3.2300000000000002E-2</v>
      </c>
      <c r="L57" s="12">
        <v>8.0799999999999997E-2</v>
      </c>
      <c r="M57" s="12">
        <v>3.5400000000000001E-2</v>
      </c>
      <c r="N57" s="12">
        <v>8.2500000000000004E-2</v>
      </c>
      <c r="O57" s="12">
        <v>0.1457</v>
      </c>
      <c r="P57" s="12">
        <v>2.3400000000000001E-2</v>
      </c>
      <c r="Q57" s="12">
        <v>6.4100000000000004E-2</v>
      </c>
      <c r="R57" s="12">
        <v>4.8399999999999999E-2</v>
      </c>
      <c r="S57" s="12">
        <v>8.7099999999999997E-2</v>
      </c>
      <c r="T57" s="12">
        <v>7.2999999999999995E-2</v>
      </c>
      <c r="U57" s="12">
        <v>0.1019</v>
      </c>
      <c r="V57" s="12">
        <v>7.4099999999999999E-2</v>
      </c>
      <c r="W57" s="12">
        <v>5.3600000000000002E-2</v>
      </c>
      <c r="X57" s="4">
        <v>2.8E-3</v>
      </c>
      <c r="Y57" s="4">
        <v>5.9999999999999995E-4</v>
      </c>
      <c r="Z57" s="4">
        <v>4.0000000000000002E-4</v>
      </c>
      <c r="AA57" s="4">
        <v>2E-3</v>
      </c>
      <c r="AB57" s="4">
        <v>1.1999999999999999E-3</v>
      </c>
      <c r="AC57" s="4">
        <v>5.0000000000000001E-4</v>
      </c>
      <c r="AD57" s="4">
        <v>2.9999999999999997E-4</v>
      </c>
      <c r="AE57" s="4">
        <v>5.0000000000000001E-4</v>
      </c>
      <c r="AF57" s="4">
        <v>2.2000000000000001E-3</v>
      </c>
      <c r="AG57" s="4">
        <v>1E-3</v>
      </c>
      <c r="AH57" s="4">
        <v>1.5E-3</v>
      </c>
      <c r="AI57" s="4">
        <v>1.4E-3</v>
      </c>
      <c r="AJ57" s="4">
        <v>3.0000000000000001E-3</v>
      </c>
      <c r="AK57" s="4">
        <v>2.0000000000000001E-4</v>
      </c>
      <c r="AL57" s="4">
        <f t="shared" si="4"/>
        <v>1.7599999999999998E-2</v>
      </c>
      <c r="AM57" s="4">
        <f t="shared" si="5"/>
        <v>1.310466199999985E-4</v>
      </c>
    </row>
    <row r="58" spans="1:39" x14ac:dyDescent="0.2">
      <c r="A58" s="16">
        <v>45869</v>
      </c>
      <c r="B58" s="15">
        <v>-4.3647436499999999E-3</v>
      </c>
      <c r="C58" s="11">
        <f t="shared" si="6"/>
        <v>-4.7814103166666667E-3</v>
      </c>
      <c r="D58">
        <v>1.06E-2</v>
      </c>
      <c r="E58">
        <v>-2.5999999999999999E-3</v>
      </c>
      <c r="F58">
        <v>2.3E-2</v>
      </c>
      <c r="G58">
        <v>4.0000000000000001E-3</v>
      </c>
      <c r="H58">
        <v>5.3E-3</v>
      </c>
      <c r="I58">
        <v>6.6E-3</v>
      </c>
      <c r="J58" s="12">
        <v>8.4599999999999995E-2</v>
      </c>
      <c r="K58" s="12">
        <v>3.2399999999999998E-2</v>
      </c>
      <c r="L58" s="12">
        <v>8.2900000000000001E-2</v>
      </c>
      <c r="M58" s="12">
        <v>3.2899999999999999E-2</v>
      </c>
      <c r="N58" s="12">
        <v>7.2599999999999998E-2</v>
      </c>
      <c r="O58" s="12">
        <v>0.14860000000000001</v>
      </c>
      <c r="P58" s="12">
        <v>2.3599999999999999E-2</v>
      </c>
      <c r="Q58" s="12">
        <v>7.6999999999999999E-2</v>
      </c>
      <c r="R58" s="12">
        <v>4.5699999999999998E-2</v>
      </c>
      <c r="S58" s="12">
        <v>0.10349999999999999</v>
      </c>
      <c r="T58" s="12">
        <v>6.1800000000000001E-2</v>
      </c>
      <c r="U58" s="12">
        <v>0.1019</v>
      </c>
      <c r="V58" s="12">
        <v>6.9699999999999998E-2</v>
      </c>
      <c r="W58" s="12">
        <v>6.2799999999999995E-2</v>
      </c>
      <c r="X58" s="4">
        <v>1.8E-3</v>
      </c>
      <c r="Y58" s="4">
        <v>1E-4</v>
      </c>
      <c r="Z58" s="4">
        <v>-5.9999999999999995E-4</v>
      </c>
      <c r="AA58" s="4">
        <v>-2.8E-3</v>
      </c>
      <c r="AB58" s="4">
        <v>-5.0000000000000001E-4</v>
      </c>
      <c r="AC58" s="4">
        <v>-2.0000000000000001E-4</v>
      </c>
      <c r="AD58" s="4">
        <v>-2.9999999999999997E-4</v>
      </c>
      <c r="AE58" s="4">
        <v>-5.0000000000000001E-4</v>
      </c>
      <c r="AF58" s="4">
        <v>-8.0000000000000004E-4</v>
      </c>
      <c r="AG58" s="4">
        <v>5.0000000000000001E-4</v>
      </c>
      <c r="AH58" s="4">
        <v>0</v>
      </c>
      <c r="AI58" s="4">
        <v>-2.0000000000000001E-4</v>
      </c>
      <c r="AJ58" s="4">
        <v>-1.1000000000000001E-3</v>
      </c>
      <c r="AK58" s="4">
        <v>0</v>
      </c>
      <c r="AL58" s="4">
        <f t="shared" si="4"/>
        <v>-4.5999999999999999E-3</v>
      </c>
      <c r="AM58" s="4">
        <f t="shared" si="5"/>
        <v>-2.3525635E-4</v>
      </c>
    </row>
    <row r="59" spans="1:39" x14ac:dyDescent="0.2">
      <c r="A59" s="16">
        <v>45900</v>
      </c>
      <c r="B59" s="15">
        <v>2.1112068000000001E-2</v>
      </c>
      <c r="C59" s="11">
        <f t="shared" si="6"/>
        <v>2.0695401333333335E-2</v>
      </c>
      <c r="D59">
        <v>2.6800000000000001E-2</v>
      </c>
      <c r="E59">
        <v>1.1900000000000001E-2</v>
      </c>
      <c r="F59">
        <v>2.0500000000000001E-2</v>
      </c>
      <c r="G59">
        <v>1.9300000000000001E-2</v>
      </c>
      <c r="H59">
        <v>2.0799999999999999E-2</v>
      </c>
      <c r="I59">
        <v>2.23E-2</v>
      </c>
      <c r="J59" s="12">
        <v>8.1000000000000003E-2</v>
      </c>
      <c r="K59" s="12">
        <v>2.0299999999999999E-2</v>
      </c>
      <c r="L59" s="12">
        <v>5.3100000000000001E-2</v>
      </c>
      <c r="M59" s="12">
        <v>6.9900000000000004E-2</v>
      </c>
      <c r="N59" s="12">
        <v>9.8400000000000001E-2</v>
      </c>
      <c r="O59" s="12">
        <v>9.1899999999999996E-2</v>
      </c>
      <c r="P59" s="12">
        <v>1.77E-2</v>
      </c>
      <c r="Q59" s="12">
        <v>4.5699999999999998E-2</v>
      </c>
      <c r="R59" s="12">
        <v>0.1081</v>
      </c>
      <c r="S59" s="12">
        <v>6.7400000000000002E-2</v>
      </c>
      <c r="T59" s="12">
        <v>0.13220000000000001</v>
      </c>
      <c r="U59" s="12">
        <v>7.5800000000000006E-2</v>
      </c>
      <c r="V59" s="12">
        <v>8.3900000000000002E-2</v>
      </c>
      <c r="W59" s="12">
        <v>5.4699999999999999E-2</v>
      </c>
      <c r="X59" s="4">
        <v>-5.0000000000000001E-4</v>
      </c>
      <c r="Y59" s="4">
        <v>8.0000000000000004E-4</v>
      </c>
      <c r="Z59" s="4">
        <v>1.6999999999999999E-3</v>
      </c>
      <c r="AA59" s="4">
        <v>1.5E-3</v>
      </c>
      <c r="AB59" s="4">
        <v>4.1000000000000003E-3</v>
      </c>
      <c r="AC59" s="4">
        <v>2.0000000000000001E-4</v>
      </c>
      <c r="AD59" s="4">
        <v>8.9999999999999998E-4</v>
      </c>
      <c r="AE59" s="4">
        <v>2.3E-3</v>
      </c>
      <c r="AF59" s="4">
        <v>2E-3</v>
      </c>
      <c r="AG59" s="4">
        <v>2.5000000000000001E-3</v>
      </c>
      <c r="AH59" s="4">
        <v>2.3999999999999998E-3</v>
      </c>
      <c r="AI59" s="4">
        <v>1.1000000000000001E-3</v>
      </c>
      <c r="AJ59" s="4">
        <v>4.0000000000000002E-4</v>
      </c>
      <c r="AK59" s="4">
        <v>1.2999999999999999E-3</v>
      </c>
      <c r="AL59" s="4">
        <f t="shared" si="4"/>
        <v>2.0700000000000003E-2</v>
      </c>
      <c r="AM59" s="4">
        <f t="shared" si="5"/>
        <v>-4.1206799999999807E-4</v>
      </c>
    </row>
    <row r="60" spans="1:39" ht="14.25" customHeight="1" x14ac:dyDescent="0.2">
      <c r="A60" s="18">
        <v>45961</v>
      </c>
      <c r="B60" s="5">
        <v>9.4966961500000009E-3</v>
      </c>
      <c r="C60" s="5">
        <v>9.080029483333335E-3</v>
      </c>
      <c r="D60">
        <v>2.29E-2</v>
      </c>
      <c r="E60">
        <v>6.1000000000000004E-3</v>
      </c>
      <c r="F60">
        <v>2.3800000000000002E-2</v>
      </c>
      <c r="G60">
        <v>1.4500000000000001E-2</v>
      </c>
      <c r="H60">
        <v>1.6199999999999999E-2</v>
      </c>
      <c r="I60">
        <v>1.7899999999999999E-2</v>
      </c>
      <c r="J60" s="3">
        <v>0.13457262301598871</v>
      </c>
      <c r="K60" s="3">
        <v>2.4147470999735229E-2</v>
      </c>
      <c r="L60" s="3">
        <v>4.4602781445119873E-2</v>
      </c>
      <c r="M60" s="3">
        <v>6.4077144677778045E-2</v>
      </c>
      <c r="N60" s="3">
        <v>0.107402445899088</v>
      </c>
      <c r="O60" s="3">
        <v>0</v>
      </c>
      <c r="P60" s="3">
        <v>2.3726202260838269E-2</v>
      </c>
      <c r="Q60" s="3">
        <v>3.9410072694264907E-2</v>
      </c>
      <c r="R60" s="3">
        <v>9.0094044008003929E-2</v>
      </c>
      <c r="S60" s="3">
        <v>8.6394184760968828E-2</v>
      </c>
      <c r="T60" s="3">
        <v>0.12592715445902761</v>
      </c>
      <c r="U60" s="3">
        <v>0.13440736837336351</v>
      </c>
      <c r="V60" s="3">
        <v>7.5671048432498389E-2</v>
      </c>
      <c r="W60" s="3">
        <v>4.9567458973324402E-2</v>
      </c>
      <c r="X60" s="5">
        <v>1.2779953108913421E-3</v>
      </c>
      <c r="Y60" s="5">
        <v>2.2932119487542219E-4</v>
      </c>
      <c r="Z60" s="5">
        <v>4.2357906282916141E-4</v>
      </c>
      <c r="AA60" s="5">
        <v>6.0852117316444784E-4</v>
      </c>
      <c r="AB60" s="5">
        <v>1.0199683944704561E-3</v>
      </c>
      <c r="AC60" s="5">
        <v>0</v>
      </c>
      <c r="AD60" s="5">
        <v>2.2532053366462409E-4</v>
      </c>
      <c r="AE60" s="5">
        <v>3.7426548562684568E-4</v>
      </c>
      <c r="AF60" s="5">
        <v>8.5559576086874161E-4</v>
      </c>
      <c r="AG60" s="5">
        <v>8.2045932180188142E-4</v>
      </c>
      <c r="AH60" s="5">
        <v>1.1958919229315031E-3</v>
      </c>
      <c r="AI60" s="5">
        <v>1.2764259377629531E-3</v>
      </c>
      <c r="AJ60" s="5">
        <v>7.1862495431537104E-4</v>
      </c>
      <c r="AK60" s="5">
        <v>4.7072709679725239E-4</v>
      </c>
      <c r="AL60" s="5">
        <f t="shared" si="4"/>
        <v>9.4966961500000027E-3</v>
      </c>
      <c r="AM60" s="4">
        <f t="shared" si="5"/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GAM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Holpe</dc:creator>
  <cp:lastModifiedBy>Microsoft Office User</cp:lastModifiedBy>
  <dcterms:created xsi:type="dcterms:W3CDTF">2025-09-03T14:34:36Z</dcterms:created>
  <dcterms:modified xsi:type="dcterms:W3CDTF">2025-11-11T17:53:08Z</dcterms:modified>
</cp:coreProperties>
</file>