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20" tabRatio="600" firstSheet="0" activeTab="0" autoFilterDateGrouping="1"/>
  </bookViews>
  <sheets>
    <sheet name="GAM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4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 Light"/>
      <family val="2"/>
      <b val="1"/>
      <color theme="3"/>
      <sz val="18"/>
      <scheme val="maj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Garamond"/>
      <family val="2"/>
      <color theme="1"/>
      <sz val="11"/>
    </font>
    <font>
      <name val="Arial"/>
      <family val="2"/>
      <color theme="1"/>
      <sz val="10"/>
    </font>
    <font>
      <name val="Verdana"/>
      <family val="2"/>
      <sz val="10"/>
    </font>
    <font>
      <name val="Arial"/>
      <family val="2"/>
      <color indexed="8"/>
      <sz val="10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Calibri"/>
      <family val="2"/>
      <b val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2">
    <xf numFmtId="0" fontId="1" fillId="0" borderId="0"/>
    <xf numFmtId="43" fontId="1" fillId="0" borderId="0"/>
    <xf numFmtId="9" fontId="1" fillId="0" borderId="0"/>
    <xf numFmtId="0" fontId="6" fillId="0" borderId="1"/>
    <xf numFmtId="0" fontId="7" fillId="0" borderId="2"/>
    <xf numFmtId="0" fontId="8" fillId="0" borderId="3"/>
    <xf numFmtId="0" fontId="8" fillId="0" borderId="0"/>
    <xf numFmtId="0" fontId="9" fillId="5" borderId="0"/>
    <xf numFmtId="0" fontId="10" fillId="6" borderId="0"/>
    <xf numFmtId="0" fontId="12" fillId="8" borderId="4"/>
    <xf numFmtId="0" fontId="13" fillId="9" borderId="5"/>
    <xf numFmtId="0" fontId="14" fillId="9" borderId="4"/>
    <xf numFmtId="0" fontId="15" fillId="0" borderId="6"/>
    <xf numFmtId="0" fontId="16" fillId="10" borderId="7"/>
    <xf numFmtId="0" fontId="17" fillId="0" borderId="0"/>
    <xf numFmtId="0" fontId="1" fillId="11" borderId="8"/>
    <xf numFmtId="0" fontId="18" fillId="0" borderId="0"/>
    <xf numFmtId="0" fontId="2" fillId="0" borderId="9"/>
    <xf numFmtId="0" fontId="19" fillId="12" borderId="0"/>
    <xf numFmtId="0" fontId="1" fillId="13" borderId="0"/>
    <xf numFmtId="0" fontId="1" fillId="14" borderId="0"/>
    <xf numFmtId="0" fontId="19" fillId="16" borderId="0"/>
    <xf numFmtId="0" fontId="1" fillId="17" borderId="0"/>
    <xf numFmtId="0" fontId="1" fillId="18" borderId="0"/>
    <xf numFmtId="0" fontId="19" fillId="20" borderId="0"/>
    <xf numFmtId="0" fontId="1" fillId="21" borderId="0"/>
    <xf numFmtId="0" fontId="1" fillId="22" borderId="0"/>
    <xf numFmtId="0" fontId="19" fillId="24" borderId="0"/>
    <xf numFmtId="0" fontId="1" fillId="25" borderId="0"/>
    <xf numFmtId="0" fontId="1" fillId="26" borderId="0"/>
    <xf numFmtId="0" fontId="19" fillId="28" borderId="0"/>
    <xf numFmtId="0" fontId="1" fillId="29" borderId="0"/>
    <xf numFmtId="0" fontId="1" fillId="30" borderId="0"/>
    <xf numFmtId="0" fontId="19" fillId="32" borderId="0"/>
    <xf numFmtId="0" fontId="1" fillId="33" borderId="0"/>
    <xf numFmtId="0" fontId="1" fillId="34" borderId="0"/>
    <xf numFmtId="0" fontId="20" fillId="0" borderId="0"/>
    <xf numFmtId="0" fontId="21" fillId="7" borderId="0"/>
    <xf numFmtId="0" fontId="19" fillId="15" borderId="0"/>
    <xf numFmtId="0" fontId="19" fillId="19" borderId="0"/>
    <xf numFmtId="0" fontId="19" fillId="23" borderId="0"/>
    <xf numFmtId="0" fontId="19" fillId="27" borderId="0"/>
    <xf numFmtId="0" fontId="19" fillId="31" borderId="0"/>
    <xf numFmtId="0" fontId="19" fillId="35" borderId="0"/>
    <xf numFmtId="0" fontId="22" fillId="0" borderId="0"/>
    <xf numFmtId="0" fontId="23" fillId="0" borderId="0"/>
    <xf numFmtId="0" fontId="23" fillId="11" borderId="8"/>
    <xf numFmtId="9" fontId="23" fillId="0" borderId="0"/>
    <xf numFmtId="43" fontId="23" fillId="0" borderId="0"/>
    <xf numFmtId="0" fontId="1" fillId="13" borderId="0"/>
    <xf numFmtId="0" fontId="1" fillId="17" borderId="0"/>
    <xf numFmtId="0" fontId="1" fillId="21" borderId="0"/>
    <xf numFmtId="0" fontId="1" fillId="25" borderId="0"/>
    <xf numFmtId="0" fontId="1" fillId="29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9" fillId="15" borderId="0"/>
    <xf numFmtId="0" fontId="19" fillId="19" borderId="0"/>
    <xf numFmtId="0" fontId="19" fillId="23" borderId="0"/>
    <xf numFmtId="0" fontId="19" fillId="27" borderId="0"/>
    <xf numFmtId="0" fontId="19" fillId="31" borderId="0"/>
    <xf numFmtId="0" fontId="19" fillId="35" borderId="0"/>
    <xf numFmtId="0" fontId="19" fillId="12" borderId="0"/>
    <xf numFmtId="0" fontId="19" fillId="16" borderId="0"/>
    <xf numFmtId="0" fontId="19" fillId="20" borderId="0"/>
    <xf numFmtId="0" fontId="19" fillId="24" borderId="0"/>
    <xf numFmtId="0" fontId="19" fillId="28" borderId="0"/>
    <xf numFmtId="0" fontId="19" fillId="32" borderId="0"/>
    <xf numFmtId="0" fontId="10" fillId="6" borderId="0"/>
    <xf numFmtId="0" fontId="14" fillId="9" borderId="4"/>
    <xf numFmtId="0" fontId="16" fillId="10" borderId="7"/>
    <xf numFmtId="41" fontId="24" fillId="0" borderId="0"/>
    <xf numFmtId="43" fontId="1" fillId="0" borderId="0"/>
    <xf numFmtId="43" fontId="25" fillId="0" borderId="0"/>
    <xf numFmtId="43" fontId="1" fillId="0" borderId="0"/>
    <xf numFmtId="42" fontId="26" fillId="0" borderId="0"/>
    <xf numFmtId="43" fontId="24" fillId="0" borderId="0"/>
    <xf numFmtId="42" fontId="24" fillId="0" borderId="0"/>
    <xf numFmtId="44" fontId="25" fillId="0" borderId="0"/>
    <xf numFmtId="44" fontId="26" fillId="0" borderId="0"/>
    <xf numFmtId="44" fontId="24" fillId="0" borderId="0"/>
    <xf numFmtId="0" fontId="18" fillId="0" borderId="0"/>
    <xf numFmtId="0" fontId="9" fillId="5" borderId="0"/>
    <xf numFmtId="0" fontId="6" fillId="0" borderId="1"/>
    <xf numFmtId="0" fontId="7" fillId="0" borderId="2"/>
    <xf numFmtId="0" fontId="8" fillId="0" borderId="3"/>
    <xf numFmtId="0" fontId="8" fillId="0" borderId="0"/>
    <xf numFmtId="0" fontId="27" fillId="0" borderId="0"/>
    <xf numFmtId="0" fontId="28" fillId="0" borderId="0"/>
    <xf numFmtId="0" fontId="12" fillId="8" borderId="4"/>
    <xf numFmtId="0" fontId="15" fillId="0" borderId="6"/>
    <xf numFmtId="0" fontId="21" fillId="7" borderId="0"/>
    <xf numFmtId="0" fontId="1" fillId="0" borderId="0"/>
    <xf numFmtId="0" fontId="24" fillId="0" borderId="0"/>
    <xf numFmtId="0" fontId="25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3" fillId="0" borderId="0"/>
    <xf numFmtId="0" fontId="1" fillId="11" borderId="8"/>
    <xf numFmtId="0" fontId="13" fillId="9" borderId="5"/>
    <xf numFmtId="9" fontId="25" fillId="0" borderId="0"/>
    <xf numFmtId="9" fontId="23" fillId="0" borderId="0"/>
    <xf numFmtId="9" fontId="2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26" fillId="0" borderId="0"/>
    <xf numFmtId="9" fontId="1" fillId="0" borderId="0"/>
    <xf numFmtId="9" fontId="24" fillId="0" borderId="0"/>
    <xf numFmtId="0" fontId="2" fillId="0" borderId="9"/>
    <xf numFmtId="0" fontId="17" fillId="0" borderId="0"/>
    <xf numFmtId="44" fontId="23" fillId="0" borderId="0"/>
    <xf numFmtId="0" fontId="5" fillId="0" borderId="0"/>
    <xf numFmtId="0" fontId="11" fillId="7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35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164" fontId="0" fillId="0" borderId="0" pivotButton="0" quotePrefix="0" xfId="2"/>
    <xf numFmtId="0" fontId="0" fillId="4" borderId="0" pivotButton="0" quotePrefix="0" xfId="0"/>
    <xf numFmtId="10" fontId="4" fillId="0" borderId="0" pivotButton="0" quotePrefix="0" xfId="0"/>
    <xf numFmtId="43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29" fillId="38" borderId="0" pivotButton="0" quotePrefix="0" xfId="0"/>
    <xf numFmtId="0" fontId="16" fillId="36" borderId="0" pivotButton="0" quotePrefix="0" xfId="0"/>
    <xf numFmtId="164" fontId="3" fillId="37" borderId="0" pivotButton="0" quotePrefix="0" xfId="2"/>
    <xf numFmtId="14" fontId="0" fillId="0" borderId="0" pivotButton="0" quotePrefix="0" xfId="0"/>
  </cellXfs>
  <cellStyles count="142">
    <cellStyle name="Normal" xfId="0" builtinId="0"/>
    <cellStyle name="Comma" xfId="1" builtinId="3"/>
    <cellStyle name="Percent" xfId="2" builtinId="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Accent2" xfId="21" builtinId="33"/>
    <cellStyle name="20% - Accent2" xfId="22" builtinId="34"/>
    <cellStyle name="40% - Accent2" xfId="23" builtinId="35"/>
    <cellStyle name="Accent3" xfId="24" builtinId="37"/>
    <cellStyle name="20% - Accent3" xfId="25" builtinId="38"/>
    <cellStyle name="40% - Accent3" xfId="26" builtinId="39"/>
    <cellStyle name="Accent4" xfId="27" builtinId="41"/>
    <cellStyle name="20% - Accent4" xfId="28" builtinId="42"/>
    <cellStyle name="40% - Accent4" xfId="29" builtinId="43"/>
    <cellStyle name="Accent5" xfId="30" builtinId="45"/>
    <cellStyle name="20% - Accent5" xfId="31" builtinId="46"/>
    <cellStyle name="40% - Accent5" xfId="32" builtinId="47"/>
    <cellStyle name="Accent6" xfId="33" builtinId="49"/>
    <cellStyle name="20% - Accent6" xfId="34" builtinId="50"/>
    <cellStyle name="40% - Accent6" xfId="35" builtinId="51"/>
    <cellStyle name="Title 3" xfId="36"/>
    <cellStyle name="Neutral 4" xfId="37"/>
    <cellStyle name="60% - Accent1 4" xfId="38"/>
    <cellStyle name="60% - Accent2 4" xfId="39"/>
    <cellStyle name="60% - Accent3 4" xfId="40"/>
    <cellStyle name="60% - Accent4 4" xfId="41"/>
    <cellStyle name="60% - Accent5 4" xfId="42"/>
    <cellStyle name="60% - Accent6 4" xfId="43"/>
    <cellStyle name="Normal 2" xfId="44"/>
    <cellStyle name="Normal 3" xfId="45"/>
    <cellStyle name="Note 2" xfId="46"/>
    <cellStyle name="Percent 2" xfId="47"/>
    <cellStyle name="Comma 2" xfId="48"/>
    <cellStyle name="20% - Accent1 2" xfId="49"/>
    <cellStyle name="20% - Accent2 2" xfId="50"/>
    <cellStyle name="20% - Accent3 2" xfId="51"/>
    <cellStyle name="20% - Accent4 2" xfId="52"/>
    <cellStyle name="20% - Accent5 2" xfId="53"/>
    <cellStyle name="20% - Accent6 2" xfId="54"/>
    <cellStyle name="40% - Accent1 2" xfId="55"/>
    <cellStyle name="40% - Accent2 2" xfId="56"/>
    <cellStyle name="40% - Accent3 2" xfId="57"/>
    <cellStyle name="40% - Accent4 2" xfId="58"/>
    <cellStyle name="40% - Accent5 2" xfId="59"/>
    <cellStyle name="40% - Accent6 2" xfId="60"/>
    <cellStyle name="60% - Accent1 2" xfId="61"/>
    <cellStyle name="60% - Accent2 2" xfId="62"/>
    <cellStyle name="60% - Accent3 2" xfId="63"/>
    <cellStyle name="60% - Accent4 2" xfId="64"/>
    <cellStyle name="60% - Accent5 2" xfId="65"/>
    <cellStyle name="60% - Accent6 2" xfId="66"/>
    <cellStyle name="Accent1 2" xfId="67"/>
    <cellStyle name="Accent2 2" xfId="68"/>
    <cellStyle name="Accent3 2" xfId="69"/>
    <cellStyle name="Accent4 2" xfId="70"/>
    <cellStyle name="Accent5 2" xfId="71"/>
    <cellStyle name="Accent6 2" xfId="72"/>
    <cellStyle name="Bad 2" xfId="73"/>
    <cellStyle name="Calculation 2" xfId="74"/>
    <cellStyle name="Check Cell 2" xfId="75"/>
    <cellStyle name="Comma [0] 2" xfId="76"/>
    <cellStyle name="Comma 2 2" xfId="77"/>
    <cellStyle name="Comma 3" xfId="78"/>
    <cellStyle name="Comma 3 2" xfId="79"/>
    <cellStyle name="Comma 4" xfId="80"/>
    <cellStyle name="Comma 5" xfId="81"/>
    <cellStyle name="Currency [0] 2" xfId="82"/>
    <cellStyle name="Currency 2" xfId="83"/>
    <cellStyle name="Currency 3" xfId="84"/>
    <cellStyle name="Currency 4" xfId="85"/>
    <cellStyle name="Explanatory Text 2" xfId="86"/>
    <cellStyle name="Good 2" xfId="87"/>
    <cellStyle name="Heading 1 2" xfId="88"/>
    <cellStyle name="Heading 2 2" xfId="89"/>
    <cellStyle name="Heading 3 2" xfId="90"/>
    <cellStyle name="Heading 4 2" xfId="91"/>
    <cellStyle name="Hyperlink 2" xfId="92"/>
    <cellStyle name="Hyperlink 3" xfId="93"/>
    <cellStyle name="Input 2" xfId="94"/>
    <cellStyle name="Linked Cell 2" xfId="95"/>
    <cellStyle name="Neutral 2" xfId="96"/>
    <cellStyle name="Normal 10" xfId="97"/>
    <cellStyle name="Normal 11" xfId="98"/>
    <cellStyle name="Normal 2 2" xfId="99"/>
    <cellStyle name="Normal 2 3" xfId="100"/>
    <cellStyle name="Normal 2 4" xfId="101"/>
    <cellStyle name="Normal 3 2" xfId="102"/>
    <cellStyle name="Normal 4" xfId="103"/>
    <cellStyle name="Normal 4 2" xfId="104"/>
    <cellStyle name="Normal 5" xfId="105"/>
    <cellStyle name="Normal 5 2" xfId="106"/>
    <cellStyle name="Normal 6" xfId="107"/>
    <cellStyle name="Normal 6 2" xfId="108"/>
    <cellStyle name="Normal 7" xfId="109"/>
    <cellStyle name="Normal 7 2" xfId="110"/>
    <cellStyle name="Normal 8" xfId="111"/>
    <cellStyle name="Normal 9" xfId="112"/>
    <cellStyle name="Note 3" xfId="113"/>
    <cellStyle name="Output 2" xfId="114"/>
    <cellStyle name="Percent 2 2" xfId="115"/>
    <cellStyle name="Percent 2 3" xfId="116"/>
    <cellStyle name="Percent 2 4" xfId="117"/>
    <cellStyle name="Percent 3" xfId="118"/>
    <cellStyle name="Percent 3 2" xfId="119"/>
    <cellStyle name="Percent 4" xfId="120"/>
    <cellStyle name="Percent 4 2" xfId="121"/>
    <cellStyle name="Percent 4 2 2" xfId="122"/>
    <cellStyle name="Percent 4 3" xfId="123"/>
    <cellStyle name="Percent 5" xfId="124"/>
    <cellStyle name="Percent 5 2" xfId="125"/>
    <cellStyle name="Percent 6" xfId="126"/>
    <cellStyle name="Percent 6 2" xfId="127"/>
    <cellStyle name="Percent 7" xfId="128"/>
    <cellStyle name="Percent 8" xfId="129"/>
    <cellStyle name="Percent 9" xfId="130"/>
    <cellStyle name="Total 2" xfId="131"/>
    <cellStyle name="Warning Text 2" xfId="132"/>
    <cellStyle name="Currency 5" xfId="133"/>
    <cellStyle name="Title 2" xfId="134"/>
    <cellStyle name="Neutral 3" xfId="135"/>
    <cellStyle name="60% - Accent1 3" xfId="136"/>
    <cellStyle name="60% - Accent2 3" xfId="137"/>
    <cellStyle name="60% - Accent3 3" xfId="138"/>
    <cellStyle name="60% - Accent4 3" xfId="139"/>
    <cellStyle name="60% - Accent5 3" xfId="140"/>
    <cellStyle name="60% - Accent6 3" xfId="14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GAM!$J$2</f>
              <strCache>
                <ptCount val="1"/>
                <pt idx="0">
                  <v>PDBC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GAM!$J$3:$J$75</f>
              <numCache>
                <formatCode>0%</formatCode>
                <ptCount val="73"/>
                <pt idx="10">
                  <v>0.0544307425798338</v>
                </pt>
                <pt idx="11">
                  <v>0.0510735819577931</v>
                </pt>
                <pt idx="12">
                  <v>0.0647760937396499</v>
                </pt>
                <pt idx="13">
                  <v>0.0561486434647755</v>
                </pt>
                <pt idx="14">
                  <v>0.0415889445928997</v>
                </pt>
                <pt idx="15">
                  <v>0.09571310124301689</v>
                </pt>
                <pt idx="16">
                  <v>0.0889462782577685</v>
                </pt>
                <pt idx="17">
                  <v>0.0839917132936932</v>
                </pt>
                <pt idx="18">
                  <v>0.0507365740586861</v>
                </pt>
                <pt idx="19">
                  <v>0.0454942339486517</v>
                </pt>
                <pt idx="20">
                  <v>0.0534198527577702</v>
                </pt>
                <pt idx="21">
                  <v>0.0485351951016281</v>
                </pt>
                <pt idx="22">
                  <v>0.0473169360402784</v>
                </pt>
                <pt idx="23">
                  <v>0.0513308973170755</v>
                </pt>
                <pt idx="24">
                  <v>0.048493303911033</v>
                </pt>
                <pt idx="25">
                  <v>0.056788221819853</v>
                </pt>
                <pt idx="26">
                  <v>0.0618160359621594</v>
                </pt>
                <pt idx="27">
                  <v>0.0389898139925005</v>
                </pt>
                <pt idx="28">
                  <v>0.0410785634542743</v>
                </pt>
                <pt idx="29">
                  <v>0.0456444851195518</v>
                </pt>
                <pt idx="30">
                  <v>0.0478419757613167</v>
                </pt>
                <pt idx="31">
                  <v>0.0365395985893195</v>
                </pt>
                <pt idx="32">
                  <v>0.0238982087380374</v>
                </pt>
                <pt idx="33">
                  <v>0.0308916469340123</v>
                </pt>
                <pt idx="34">
                  <v>0.0389643861638355</v>
                </pt>
                <pt idx="35">
                  <v>0.0401476340851605</v>
                </pt>
                <pt idx="36">
                  <v>0.0310933168157718</v>
                </pt>
                <pt idx="37">
                  <v>0.0386053790630181</v>
                </pt>
                <pt idx="38">
                  <v>0.0649273520116391</v>
                </pt>
                <pt idx="39">
                  <v>0.0531987783030637</v>
                </pt>
                <pt idx="40">
                  <v>0.0466801171256048</v>
                </pt>
                <pt idx="41">
                  <v>0.0369859401415121</v>
                </pt>
                <pt idx="42">
                  <v>0.0578731478163318</v>
                </pt>
                <pt idx="43">
                  <v>0.0511654536190369</v>
                </pt>
                <pt idx="44">
                  <v>0.07190062901559111</v>
                </pt>
                <pt idx="45">
                  <v>0.0610473505463149</v>
                </pt>
                <pt idx="46">
                  <v>0.07702281108624059</v>
                </pt>
                <pt idx="47">
                  <v>0.0833566107701209</v>
                </pt>
                <pt idx="48">
                  <v>0.0925550340173983</v>
                </pt>
                <pt idx="49">
                  <v>0.0947008402365801</v>
                </pt>
                <pt idx="50">
                  <v>0.0825495242539543</v>
                </pt>
                <pt idx="51">
                  <v>0.08996732598702641</v>
                </pt>
                <pt idx="52">
                  <v>0.08369753294550181</v>
                </pt>
                <pt idx="53">
                  <v>0.102300924155172</v>
                </pt>
                <pt idx="54">
                  <v>0.0657591074614515</v>
                </pt>
                <pt idx="55">
                  <v>0.07042645738430239</v>
                </pt>
                <pt idx="56">
                  <v>0.0826048546546158</v>
                </pt>
                <pt idx="57">
                  <v>0.108265785356897</v>
                </pt>
                <pt idx="58">
                  <v>0.08932481335075659</v>
                </pt>
                <pt idx="59">
                  <v>0.09426123683218229</v>
                </pt>
                <pt idx="60">
                  <v>0.08672192054604951</v>
                </pt>
                <pt idx="61">
                  <v>0.08098769624435589</v>
                </pt>
                <pt idx="62">
                  <v>0.0940274446516407</v>
                </pt>
                <pt idx="63">
                  <v>0.114116411512502</v>
                </pt>
                <pt idx="64">
                  <v>0.122948024683495</v>
                </pt>
                <pt idx="65">
                  <v>0.097653206303201</v>
                </pt>
                <pt idx="66">
                  <v>0.0846403422194834</v>
                </pt>
                <pt idx="67">
                  <v>0.08101752958599159</v>
                </pt>
                <pt idx="68">
                  <v>0.0804259467042933</v>
                </pt>
                <pt idx="69">
                  <v>0.0586474555711821</v>
                </pt>
                <pt idx="70">
                  <v>0.0567</v>
                </pt>
                <pt idx="71">
                  <v>0.0512</v>
                </pt>
                <pt idx="72">
                  <v>0.0867</v>
                </pt>
              </numCache>
            </numRef>
          </val>
        </ser>
        <ser>
          <idx val="1"/>
          <order val="1"/>
          <tx>
            <strRef>
              <f>GAM!$K$2</f>
              <strCache>
                <ptCount val="1"/>
                <pt idx="0">
                  <v>VWO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GAM!$K$3:$K$75</f>
              <numCache>
                <formatCode>0%</formatCode>
                <ptCount val="73"/>
                <pt idx="10">
                  <v>0.0216631249075839</v>
                </pt>
                <pt idx="11">
                  <v>0.0374149699997009</v>
                </pt>
                <pt idx="12">
                  <v>0.0341800312467985</v>
                </pt>
                <pt idx="13">
                  <v>0.0211320737115095</v>
                </pt>
                <pt idx="14">
                  <v>0.0102559968220359</v>
                </pt>
                <pt idx="15">
                  <v>0.00675110866809214</v>
                </pt>
                <pt idx="16">
                  <v>0.00618402575105551</v>
                </pt>
                <pt idx="17">
                  <v>0.00617702607560081</v>
                </pt>
                <pt idx="18">
                  <v>0.00339538614978222</v>
                </pt>
                <pt idx="19">
                  <v>0.00269993494943578</v>
                </pt>
                <pt idx="20">
                  <v>0.00350065640291533</v>
                </pt>
                <pt idx="21">
                  <v>0.00558653928927246</v>
                </pt>
                <pt idx="22">
                  <v>0.00598854575204447</v>
                </pt>
                <pt idx="23">
                  <v>0.00498170447567421</v>
                </pt>
                <pt idx="24">
                  <v>0.008585067097243101</v>
                </pt>
                <pt idx="25">
                  <v>0.009723648701660001</v>
                </pt>
                <pt idx="26">
                  <v>0.0101697325470553</v>
                </pt>
                <pt idx="27">
                  <v>0.0168148488984526</v>
                </pt>
                <pt idx="28">
                  <v>0.0193014421188446</v>
                </pt>
                <pt idx="29">
                  <v>0.0174292502412956</v>
                </pt>
                <pt idx="30">
                  <v>0.0188706294933483</v>
                </pt>
                <pt idx="31">
                  <v>0.0142896001817756</v>
                </pt>
                <pt idx="32">
                  <v>0.0183572769854321</v>
                </pt>
                <pt idx="33">
                  <v>0.0210909685315395</v>
                </pt>
                <pt idx="34">
                  <v>0.0248922571017888</v>
                </pt>
                <pt idx="35">
                  <v>0.0270564922713584</v>
                </pt>
                <pt idx="36">
                  <v>0.0227600053358309</v>
                </pt>
                <pt idx="37">
                  <v>0.0191307192704613</v>
                </pt>
                <pt idx="38">
                  <v>0.0220219052480255</v>
                </pt>
                <pt idx="39">
                  <v>0.0194146903143504</v>
                </pt>
                <pt idx="40">
                  <v>0.0209384415291351</v>
                </pt>
                <pt idx="41">
                  <v>0.0201570010270789</v>
                </pt>
                <pt idx="42">
                  <v>0.0266833978545597</v>
                </pt>
                <pt idx="43">
                  <v>0.0297455699298535</v>
                </pt>
                <pt idx="44">
                  <v>0.022720636851578</v>
                </pt>
                <pt idx="45">
                  <v>0.0235403980986333</v>
                </pt>
                <pt idx="46">
                  <v>0.0216933397023781</v>
                </pt>
                <pt idx="47">
                  <v>0.00731063977905044</v>
                </pt>
                <pt idx="48">
                  <v>0.00704445237605513</v>
                </pt>
                <pt idx="49">
                  <v>0.00763996353525677</v>
                </pt>
                <pt idx="50">
                  <v>0.0214251780345944</v>
                </pt>
                <pt idx="51">
                  <v>0.0212795188685908</v>
                </pt>
                <pt idx="52">
                  <v>0.0210791505200836</v>
                </pt>
                <pt idx="53">
                  <v>0.0113643640275151</v>
                </pt>
                <pt idx="54">
                  <v>0.0161493660078248</v>
                </pt>
                <pt idx="55">
                  <v>0.0158042389242794</v>
                </pt>
                <pt idx="56">
                  <v>0.0169358917235622</v>
                </pt>
                <pt idx="57">
                  <v>0.0173901915305577</v>
                </pt>
                <pt idx="58">
                  <v>0.032136428594351</v>
                </pt>
                <pt idx="59">
                  <v>0.0210925415100251</v>
                </pt>
                <pt idx="60">
                  <v>0.0221833209377991</v>
                </pt>
                <pt idx="61">
                  <v>0.0315966309375309</v>
                </pt>
                <pt idx="62">
                  <v>0.0316064139338644</v>
                </pt>
                <pt idx="63">
                  <v>0.0269437953514601</v>
                </pt>
                <pt idx="64">
                  <v>0.0278497569822455</v>
                </pt>
                <pt idx="65">
                  <v>0.0322632492590607</v>
                </pt>
                <pt idx="66">
                  <v>0.0323869690589336</v>
                </pt>
                <pt idx="67">
                  <v>0.0202684282474162</v>
                </pt>
                <pt idx="68">
                  <v>0.0144440360628015</v>
                </pt>
                <pt idx="69">
                  <v>0.0159873900015792</v>
                </pt>
                <pt idx="70">
                  <v>0.0156</v>
                </pt>
                <pt idx="71">
                  <v>0.0209</v>
                </pt>
                <pt idx="72">
                  <v>0.0222</v>
                </pt>
              </numCache>
            </numRef>
          </val>
        </ser>
        <ser>
          <idx val="2"/>
          <order val="2"/>
          <tx>
            <strRef>
              <f>GAM!$L$2</f>
              <strCache>
                <ptCount val="1"/>
                <pt idx="0">
                  <v>IEV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GAM!$L$3:$L$75</f>
              <numCache>
                <formatCode>0%</formatCode>
                <ptCount val="73"/>
                <pt idx="10">
                  <v>0.0643208901110536</v>
                </pt>
                <pt idx="11">
                  <v>0.0803364047838916</v>
                </pt>
                <pt idx="12">
                  <v>0.0683580080918734</v>
                </pt>
                <pt idx="13">
                  <v>0.07359582646907779</v>
                </pt>
                <pt idx="14">
                  <v>0.0412196018194958</v>
                </pt>
                <pt idx="15">
                  <v>0.0143277436232855</v>
                </pt>
                <pt idx="16">
                  <v>0.0133325678605508</v>
                </pt>
                <pt idx="17">
                  <v>0.0133593802916663</v>
                </pt>
                <pt idx="18">
                  <v>0.0106085942519218</v>
                </pt>
                <pt idx="19">
                  <v>0.0105127711109371</v>
                </pt>
                <pt idx="20">
                  <v>0.0140099901585954</v>
                </pt>
                <pt idx="21">
                  <v>0.0137704380376353</v>
                </pt>
                <pt idx="22">
                  <v>0.0122502718199592</v>
                </pt>
                <pt idx="23">
                  <v>0.00908999092305939</v>
                </pt>
                <pt idx="24">
                  <v>0.0229530768613697</v>
                </pt>
                <pt idx="25">
                  <v>0.0316173507390742</v>
                </pt>
                <pt idx="26">
                  <v>0.0444839217479271</v>
                </pt>
                <pt idx="27">
                  <v>0.0729339245666413</v>
                </pt>
                <pt idx="28">
                  <v>0.0745966090456187</v>
                </pt>
                <pt idx="29">
                  <v>0.061848051913999</v>
                </pt>
                <pt idx="30">
                  <v>0.0563517945356034</v>
                </pt>
                <pt idx="31">
                  <v>0.0508037422040069</v>
                </pt>
                <pt idx="32">
                  <v>0.0606835417363168</v>
                </pt>
                <pt idx="33">
                  <v>0.0539118915691037</v>
                </pt>
                <pt idx="34">
                  <v>0.06474726537204779</v>
                </pt>
                <pt idx="35">
                  <v>0.06349249814322649</v>
                </pt>
                <pt idx="36">
                  <v>0.0639696274955114</v>
                </pt>
                <pt idx="37">
                  <v>0.06855683197886291</v>
                </pt>
                <pt idx="38">
                  <v>0.0597839965865523</v>
                </pt>
                <pt idx="39">
                  <v>0.0650638168392635</v>
                </pt>
                <pt idx="40">
                  <v>0.0634665607505368</v>
                </pt>
                <pt idx="41">
                  <v>0.0598386308318407</v>
                </pt>
                <pt idx="42">
                  <v>0.0618367724666711</v>
                </pt>
                <pt idx="43">
                  <v>0.0607171264340344</v>
                </pt>
                <pt idx="44">
                  <v>0.0410134521295979</v>
                </pt>
                <pt idx="45">
                  <v>0.0430932042682951</v>
                </pt>
                <pt idx="46">
                  <v>0.0390673073359453</v>
                </pt>
                <pt idx="47">
                  <v>0.0151318272367541</v>
                </pt>
                <pt idx="48">
                  <v>0.015464942327963</v>
                </pt>
                <pt idx="49">
                  <v>0.0174650925508351</v>
                </pt>
                <pt idx="50">
                  <v>0.0539951227286907</v>
                </pt>
                <pt idx="51">
                  <v>0.0573797306917795</v>
                </pt>
                <pt idx="52">
                  <v>0.0607932582535127</v>
                </pt>
                <pt idx="53">
                  <v>0.0345329178078268</v>
                </pt>
                <pt idx="54">
                  <v>0.0532260549949314</v>
                </pt>
                <pt idx="55">
                  <v>0.0492200714761566</v>
                </pt>
                <pt idx="56">
                  <v>0.0467716623001622</v>
                </pt>
                <pt idx="57">
                  <v>0.046306049775983</v>
                </pt>
                <pt idx="58">
                  <v>0.0826190672281663</v>
                </pt>
                <pt idx="59">
                  <v>0.0537244616161872</v>
                </pt>
                <pt idx="60">
                  <v>0.0606706187414141</v>
                </pt>
                <pt idx="61">
                  <v>0.0920446541498554</v>
                </pt>
                <pt idx="62">
                  <v>0.0893935117764616</v>
                </pt>
                <pt idx="63">
                  <v>0.0815386938801292</v>
                </pt>
                <pt idx="64">
                  <v>0.0794590543884065</v>
                </pt>
                <pt idx="65">
                  <v>0.0808466916658723</v>
                </pt>
                <pt idx="66">
                  <v>0.0828829632786327</v>
                </pt>
                <pt idx="67">
                  <v>0.0530811887580034</v>
                </pt>
                <pt idx="68">
                  <v>0.0453328584032348</v>
                </pt>
                <pt idx="69">
                  <v>0.0599665997924627</v>
                </pt>
                <pt idx="70">
                  <v>0.0621</v>
                </pt>
                <pt idx="71">
                  <v>0.0689</v>
                </pt>
                <pt idx="72">
                  <v>0.0607</v>
                </pt>
              </numCache>
            </numRef>
          </val>
        </ser>
        <ser>
          <idx val="3"/>
          <order val="3"/>
          <tx>
            <strRef>
              <f>GAM!$M$2</f>
              <strCache>
                <ptCount val="1"/>
                <pt idx="0">
                  <v>BWX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val>
            <numRef>
              <f>GAM!$M$3:$M$75</f>
              <numCache>
                <formatCode>0%</formatCode>
                <ptCount val="73"/>
                <pt idx="10">
                  <v>0.0362191160627149</v>
                </pt>
                <pt idx="11">
                  <v>0.0316284858484631</v>
                </pt>
                <pt idx="12">
                  <v>0.0396230060466513</v>
                </pt>
                <pt idx="13">
                  <v>0.0441444537969482</v>
                </pt>
                <pt idx="14">
                  <v>0.0751604084401179</v>
                </pt>
                <pt idx="15">
                  <v>0.107643960341444</v>
                </pt>
                <pt idx="16">
                  <v>0.112481033507529</v>
                </pt>
                <pt idx="17">
                  <v>0.108983833187895</v>
                </pt>
                <pt idx="18">
                  <v>0.141486538577534</v>
                </pt>
                <pt idx="19">
                  <v>0.105410448908868</v>
                </pt>
                <pt idx="20">
                  <v>0.0919954836765999</v>
                </pt>
                <pt idx="21">
                  <v>0.0810657141591587</v>
                </pt>
                <pt idx="22">
                  <v>0.0915455057803707</v>
                </pt>
                <pt idx="23">
                  <v>0.09547115385036779</v>
                </pt>
                <pt idx="24">
                  <v>0.0601147338929103</v>
                </pt>
                <pt idx="25">
                  <v>0.0632691173457124</v>
                </pt>
                <pt idx="26">
                  <v>0.076979052651346</v>
                </pt>
                <pt idx="27">
                  <v>0.0340144264853801</v>
                </pt>
                <pt idx="28">
                  <v>0.0312994768884254</v>
                </pt>
                <pt idx="29">
                  <v>0.0345147161974247</v>
                </pt>
                <pt idx="30">
                  <v>0.0387406554319498</v>
                </pt>
                <pt idx="31">
                  <v>0.0411428960475676</v>
                </pt>
                <pt idx="32">
                  <v>0.0286295230423632</v>
                </pt>
                <pt idx="33">
                  <v>0.0330007479871298</v>
                </pt>
                <pt idx="34">
                  <v>0.0310690783938877</v>
                </pt>
                <pt idx="35">
                  <v>0.0330810444467694</v>
                </pt>
                <pt idx="36">
                  <v>0.0328924406615681</v>
                </pt>
                <pt idx="37">
                  <v>0.033920990622111</v>
                </pt>
                <pt idx="38">
                  <v>0.050310670619744</v>
                </pt>
                <pt idx="39">
                  <v>0.0577604541448038</v>
                </pt>
                <pt idx="40">
                  <v>0.0581646294721854</v>
                </pt>
                <pt idx="41">
                  <v>0.0514801568276467</v>
                </pt>
                <pt idx="42">
                  <v>0.0355991478092131</v>
                </pt>
                <pt idx="43">
                  <v>0.0354530941697988</v>
                </pt>
                <pt idx="44">
                  <v>0.07601304921013829</v>
                </pt>
                <pt idx="45">
                  <v>0.0714435152111067</v>
                </pt>
                <pt idx="46">
                  <v>0.0640743109134523</v>
                </pt>
                <pt idx="47">
                  <v>0.0882902315304933</v>
                </pt>
                <pt idx="48">
                  <v>0.08578422755206649</v>
                </pt>
                <pt idx="49">
                  <v>0.08599162269066959</v>
                </pt>
                <pt idx="50">
                  <v>0.0585177346616621</v>
                </pt>
                <pt idx="51">
                  <v>0.0569069385512875</v>
                </pt>
                <pt idx="52">
                  <v>0.0567838928564516</v>
                </pt>
                <pt idx="53">
                  <v>0.0903124873034131</v>
                </pt>
                <pt idx="54">
                  <v>0.058402980981959</v>
                </pt>
                <pt idx="55">
                  <v>0.0574853678379453</v>
                </pt>
                <pt idx="56">
                  <v>0.061677957182494</v>
                </pt>
                <pt idx="57">
                  <v>0.0624928481756534</v>
                </pt>
                <pt idx="58">
                  <v>0.038183199369008</v>
                </pt>
                <pt idx="59">
                  <v>0.07388068289991311</v>
                </pt>
                <pt idx="60">
                  <v>0.06883049844523111</v>
                </pt>
                <pt idx="61">
                  <v>0.027320807098485</v>
                </pt>
                <pt idx="62">
                  <v>0.0265026493057589</v>
                </pt>
                <pt idx="63">
                  <v>0.034821805259077</v>
                </pt>
                <pt idx="64">
                  <v>0.0383020468968294</v>
                </pt>
                <pt idx="65">
                  <v>0.0353787281516134</v>
                </pt>
                <pt idx="66">
                  <v>0.0328600324730646</v>
                </pt>
                <pt idx="67">
                  <v>0.0699383625138169</v>
                </pt>
                <pt idx="68">
                  <v>0.0729376899450721</v>
                </pt>
                <pt idx="69">
                  <v>0.0456551009489955</v>
                </pt>
                <pt idx="70">
                  <v>0.042</v>
                </pt>
                <pt idx="71">
                  <v>0.0283</v>
                </pt>
                <pt idx="72">
                  <v>0.0688</v>
                </pt>
              </numCache>
            </numRef>
          </val>
        </ser>
        <ser>
          <idx val="4"/>
          <order val="4"/>
          <tx>
            <strRef>
              <f>GAM!$N$2</f>
              <strCache>
                <ptCount val="1"/>
                <pt idx="0">
                  <v>IAU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val>
            <numRef>
              <f>GAM!$N$3:$N$75</f>
              <numCache>
                <formatCode>0%</formatCode>
                <ptCount val="73"/>
                <pt idx="10">
                  <v>0.0968608721302901</v>
                </pt>
                <pt idx="11">
                  <v>0.113939802144544</v>
                </pt>
                <pt idx="12">
                  <v>0.136111153571038</v>
                </pt>
                <pt idx="13">
                  <v>0.132156684300214</v>
                </pt>
                <pt idx="14">
                  <v>0.0977689693302983</v>
                </pt>
                <pt idx="15">
                  <v>0.233144564455734</v>
                </pt>
                <pt idx="16">
                  <v>0.226574328036701</v>
                </pt>
                <pt idx="17">
                  <v>0.23277198713089</v>
                </pt>
                <pt idx="18">
                  <v>0.155169489777778</v>
                </pt>
                <pt idx="19">
                  <v>0.142874449689382</v>
                </pt>
                <pt idx="20">
                  <v>0.09272598385691069</v>
                </pt>
                <pt idx="21">
                  <v>0.0829707658900983</v>
                </pt>
                <pt idx="22">
                  <v>0.0915134238001465</v>
                </pt>
                <pt idx="23">
                  <v>0.117087019851222</v>
                </pt>
                <pt idx="24">
                  <v>0.08186523819196501</v>
                </pt>
                <pt idx="25">
                  <v>0.07964106328402221</v>
                </pt>
                <pt idx="26">
                  <v>0.09210319544775521</v>
                </pt>
                <pt idx="27">
                  <v>0.0729452181344209</v>
                </pt>
                <pt idx="28">
                  <v>0.0698317142715672</v>
                </pt>
                <pt idx="29">
                  <v>0.0786446538532288</v>
                </pt>
                <pt idx="30">
                  <v>0.059821383889377</v>
                </pt>
                <pt idx="31">
                  <v>0.0718985537896084</v>
                </pt>
                <pt idx="32">
                  <v>0.0541234862788019</v>
                </pt>
                <pt idx="33">
                  <v>0.06709524435166569</v>
                </pt>
                <pt idx="34">
                  <v>0.06726331600322979</v>
                </pt>
                <pt idx="35">
                  <v>0.08741491116824281</v>
                </pt>
                <pt idx="36">
                  <v>0.0987174993686878</v>
                </pt>
                <pt idx="37">
                  <v>0.09639466805135261</v>
                </pt>
                <pt idx="38">
                  <v>0.117634126205649</v>
                </pt>
                <pt idx="39">
                  <v>0.113890231561874</v>
                </pt>
                <pt idx="40">
                  <v>0.131957049637924</v>
                </pt>
                <pt idx="41">
                  <v>0.128334650511035</v>
                </pt>
                <pt idx="42">
                  <v>0.149243624595254</v>
                </pt>
                <pt idx="43">
                  <v>0.139255305463917</v>
                </pt>
                <pt idx="44">
                  <v>0.193178811124558</v>
                </pt>
                <pt idx="45">
                  <v>0.194595658245901</v>
                </pt>
                <pt idx="46">
                  <v>0.190808665383551</v>
                </pt>
                <pt idx="47">
                  <v>0.239980312247913</v>
                </pt>
                <pt idx="48">
                  <v>0.224144151740778</v>
                </pt>
                <pt idx="49">
                  <v>0.234138660785449</v>
                </pt>
                <pt idx="50">
                  <v>0.169675879334218</v>
                </pt>
                <pt idx="51">
                  <v>0.147351836235869</v>
                </pt>
                <pt idx="52">
                  <v>0.136121986660808</v>
                </pt>
                <pt idx="53">
                  <v>0.170425610058169</v>
                </pt>
                <pt idx="54">
                  <v>0.145193511298714</v>
                </pt>
                <pt idx="55">
                  <v>0.159098551099383</v>
                </pt>
                <pt idx="56">
                  <v>0.180494599470708</v>
                </pt>
                <pt idx="57">
                  <v>0.19294414173845</v>
                </pt>
                <pt idx="58">
                  <v>0.12087663084932</v>
                </pt>
                <pt idx="59">
                  <v>0.188549252365706</v>
                </pt>
                <pt idx="60">
                  <v>0.164400783144294</v>
                </pt>
                <pt idx="61">
                  <v>0.111533374777123</v>
                </pt>
                <pt idx="62">
                  <v>0.0919993973461271</v>
                </pt>
                <pt idx="63">
                  <v>0.0967050645196344</v>
                </pt>
                <pt idx="64">
                  <v>0.0892131606279381</v>
                </pt>
                <pt idx="65">
                  <v>0.0825480696071289</v>
                </pt>
                <pt idx="66">
                  <v>0.0726070630219345</v>
                </pt>
                <pt idx="67">
                  <v>0.0983832622570035</v>
                </pt>
                <pt idx="68">
                  <v>0.107672089888555</v>
                </pt>
                <pt idx="69">
                  <v>0.07800749599778629</v>
                </pt>
                <pt idx="70">
                  <v>0.08690000000000001</v>
                </pt>
                <pt idx="71">
                  <v>0.0659</v>
                </pt>
                <pt idx="72">
                  <v>0.1644</v>
                </pt>
              </numCache>
            </numRef>
          </val>
        </ser>
        <ser>
          <idx val="5"/>
          <order val="5"/>
          <tx>
            <strRef>
              <f>GAM!$O$2</f>
              <strCache>
                <ptCount val="1"/>
                <pt idx="0">
                  <v>VEA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GAM!$O$3:$O$75</f>
              <numCache>
                <formatCode>0%</formatCode>
                <ptCount val="73"/>
                <pt idx="10">
                  <v>0.183525466200488</v>
                </pt>
                <pt idx="11">
                  <v>0.06788500734047009</v>
                </pt>
                <pt idx="12">
                  <v>0.07973319397442501</v>
                </pt>
                <pt idx="13">
                  <v>0.06704357674088809</v>
                </pt>
                <pt idx="14">
                  <v>0.162720332217548</v>
                </pt>
                <pt idx="15">
                  <v>0.0619816330910173</v>
                </pt>
                <pt idx="16">
                  <v>0.0607483445688653</v>
                </pt>
                <pt idx="17">
                  <v>0.0602429925336421</v>
                </pt>
                <pt idx="18">
                  <v>0.0646891099605858</v>
                </pt>
                <pt idx="19">
                  <v>0.08363974566153511</v>
                </pt>
                <pt idx="20">
                  <v>0.0827892303530086</v>
                </pt>
                <pt idx="21">
                  <v>0.0898913583896634</v>
                </pt>
                <pt idx="22">
                  <v>0.102995274177498</v>
                </pt>
                <pt idx="23">
                  <v>0.108971815940852</v>
                </pt>
                <pt idx="24">
                  <v>0.189596585340941</v>
                </pt>
                <pt idx="25">
                  <v>0.172999644805717</v>
                </pt>
                <pt idx="26">
                  <v>0.151499471183764</v>
                </pt>
                <pt idx="27">
                  <v>0.202473636129103</v>
                </pt>
                <pt idx="28">
                  <v>0.195816814392186</v>
                </pt>
                <pt idx="29">
                  <v>0.198735854001716</v>
                </pt>
                <pt idx="30">
                  <v>0.20641798088172</v>
                </pt>
                <pt idx="31">
                  <v>0.238792668608371</v>
                </pt>
                <pt idx="32">
                  <v>0.23991394997536</v>
                </pt>
                <pt idx="33">
                  <v>0.246180202573732</v>
                </pt>
                <pt idx="34">
                  <v>0.212155070157269</v>
                </pt>
                <pt idx="35">
                  <v>0.206162316438784</v>
                </pt>
                <pt idx="36">
                  <v>0.212537177782935</v>
                </pt>
                <pt idx="37">
                  <v>0.235923993796232</v>
                </pt>
                <pt idx="38">
                  <v>0.200655736197414</v>
                </pt>
                <pt idx="39">
                  <v>0.16891985675514</v>
                </pt>
                <pt idx="40">
                  <v>0.15792845891581</v>
                </pt>
                <pt idx="41">
                  <v>0.176693571367422</v>
                </pt>
                <pt idx="42">
                  <v>0.145704617654815</v>
                </pt>
                <pt idx="43">
                  <v>0.151035609348216</v>
                </pt>
                <pt idx="44">
                  <v>0.0809449990679577</v>
                </pt>
                <pt idx="45">
                  <v>0.08127336303347479</v>
                </pt>
                <pt idx="46">
                  <v>0.06941731424583129</v>
                </pt>
                <pt idx="47">
                  <v>0.0297559681125186</v>
                </pt>
                <pt idx="48">
                  <v>0.0321618973575406</v>
                </pt>
                <pt idx="49">
                  <v>0.0353748663398087</v>
                </pt>
                <pt idx="50">
                  <v>0.0831554322335704</v>
                </pt>
                <pt idx="51">
                  <v>0.0907144087408429</v>
                </pt>
                <pt idx="52">
                  <v>0.0966352271958804</v>
                </pt>
                <pt idx="53">
                  <v>0.0718115340575279</v>
                </pt>
                <pt idx="54">
                  <v>0.117272985971181</v>
                </pt>
                <pt idx="55">
                  <v>0.10065611454411</v>
                </pt>
                <pt idx="56">
                  <v>0.0954897467718126</v>
                </pt>
                <pt idx="57">
                  <v>0.0849623810452259</v>
                </pt>
                <pt idx="58">
                  <v>0.131542245976688</v>
                </pt>
                <pt idx="59">
                  <v>0.0773575552275215</v>
                </pt>
                <pt idx="60">
                  <v>0.0807084332595501</v>
                </pt>
                <pt idx="61">
                  <v>0.123865892454591</v>
                </pt>
                <pt idx="62">
                  <v>0.11855904255618</v>
                </pt>
                <pt idx="63">
                  <v>0.117822881727235</v>
                </pt>
                <pt idx="64">
                  <v>0.140043328444831</v>
                </pt>
                <pt idx="65">
                  <v>0.145694911814286</v>
                </pt>
                <pt idx="66">
                  <v>0.14863645203978</v>
                </pt>
                <pt idx="67">
                  <v>0.0919359774958928</v>
                </pt>
                <pt idx="68">
                  <v>0.11694069663176</v>
                </pt>
                <pt idx="69">
                  <v>0.177763660751573</v>
                </pt>
                <pt idx="70">
                  <v>0.172</v>
                </pt>
                <pt idx="71">
                  <v>0.1874</v>
                </pt>
                <pt idx="72">
                  <v>0.08069999999999999</v>
                </pt>
              </numCache>
            </numRef>
          </val>
        </ser>
        <ser>
          <idx val="6"/>
          <order val="6"/>
          <tx>
            <strRef>
              <f>GAM!$P$2</f>
              <strCache>
                <ptCount val="1"/>
                <pt idx="0">
                  <v>RWX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GAM!$P$3:$P$75</f>
              <numCache>
                <formatCode>0%</formatCode>
                <ptCount val="73"/>
                <pt idx="10">
                  <v>0.0320624886511596</v>
                </pt>
                <pt idx="11">
                  <v>0.0531113446899909</v>
                </pt>
                <pt idx="12">
                  <v>0.0430475210222651</v>
                </pt>
                <pt idx="13">
                  <v>0.0384790298705655</v>
                </pt>
                <pt idx="14">
                  <v>0.0128105160690002</v>
                </pt>
                <pt idx="15">
                  <v>0.00781065227559278</v>
                </pt>
                <pt idx="16">
                  <v>0.00703595769874648</v>
                </pt>
                <pt idx="17">
                  <v>0.00699136617157554</v>
                </pt>
                <pt idx="18">
                  <v>0.00368703046606744</v>
                </pt>
                <pt idx="19">
                  <v>0.00279068959289465</v>
                </pt>
                <pt idx="20">
                  <v>0.00358961878071422</v>
                </pt>
                <pt idx="21">
                  <v>0.00656308170865371</v>
                </pt>
                <pt idx="22">
                  <v>0.00660326088600051</v>
                </pt>
                <pt idx="23">
                  <v>0.0049510437838132</v>
                </pt>
                <pt idx="24">
                  <v>0.008944371437835811</v>
                </pt>
                <pt idx="25">
                  <v>0.0114862259977374</v>
                </pt>
                <pt idx="26">
                  <v>0.0162463890019784</v>
                </pt>
                <pt idx="27">
                  <v>0.0359726576572051</v>
                </pt>
                <pt idx="28">
                  <v>0.0392155872863826</v>
                </pt>
                <pt idx="29">
                  <v>0.0307403544328474</v>
                </pt>
                <pt idx="30">
                  <v>0.0213581888117986</v>
                </pt>
                <pt idx="31">
                  <v>0.0169755689782497</v>
                </pt>
                <pt idx="32">
                  <v>0.0162628868706838</v>
                </pt>
                <pt idx="33">
                  <v>0.0200608169875498</v>
                </pt>
                <pt idx="34">
                  <v>0.0264735351401891</v>
                </pt>
                <pt idx="35">
                  <v>0.0271956710845631</v>
                </pt>
                <pt idx="36">
                  <v>0.0245898645899082</v>
                </pt>
                <pt idx="37">
                  <v>0.0263042768104558</v>
                </pt>
                <pt idx="38">
                  <v>0.0275045326342962</v>
                </pt>
                <pt idx="39">
                  <v>0.0318307111619987</v>
                </pt>
                <pt idx="40">
                  <v>0.0352592213724654</v>
                </pt>
                <pt idx="41">
                  <v>0.0316740099058934</v>
                </pt>
                <pt idx="42">
                  <v>0.0326346371150628</v>
                </pt>
                <pt idx="43">
                  <v>0.0295231997915894</v>
                </pt>
                <pt idx="44">
                  <v>0.0194945717157603</v>
                </pt>
                <pt idx="45">
                  <v>0.0166120591675512</v>
                </pt>
                <pt idx="46">
                  <v>0.016557074855365</v>
                </pt>
                <pt idx="47">
                  <v>0.00612228000471037</v>
                </pt>
                <pt idx="48">
                  <v>0.00624328037745169</v>
                </pt>
                <pt idx="49">
                  <v>0.00659181539980786</v>
                </pt>
                <pt idx="50">
                  <v>0.022023134325768</v>
                </pt>
                <pt idx="51">
                  <v>0.0214272397398435</v>
                </pt>
                <pt idx="52">
                  <v>0.0222727547183609</v>
                </pt>
                <pt idx="53">
                  <v>0.0118905565384887</v>
                </pt>
                <pt idx="54">
                  <v>0.0165995482608297</v>
                </pt>
                <pt idx="55">
                  <v>0.0167085893622729</v>
                </pt>
                <pt idx="56">
                  <v>0.0177780607005056</v>
                </pt>
                <pt idx="57">
                  <v>0.0201605560725592</v>
                </pt>
                <pt idx="58">
                  <v>0.0337776122463208</v>
                </pt>
                <pt idx="59">
                  <v>0.0169588668736704</v>
                </pt>
                <pt idx="60">
                  <v>0.0163662593558435</v>
                </pt>
                <pt idx="61">
                  <v>0.0221554627035399</v>
                </pt>
                <pt idx="62">
                  <v>0.0254772486583431</v>
                </pt>
                <pt idx="63">
                  <v>0.0263885156430469</v>
                </pt>
                <pt idx="64">
                  <v>0.0220805024522381</v>
                </pt>
                <pt idx="65">
                  <v>0.0234054095044129</v>
                </pt>
                <pt idx="66">
                  <v>0.0235839731615624</v>
                </pt>
                <pt idx="67">
                  <v>0.0176992574432442</v>
                </pt>
                <pt idx="68">
                  <v>0.0167502296153632</v>
                </pt>
                <pt idx="69">
                  <v>0.0222465467840019</v>
                </pt>
                <pt idx="70">
                  <v>0.0223</v>
                </pt>
                <pt idx="71">
                  <v>0.0278</v>
                </pt>
                <pt idx="72">
                  <v>0.0164</v>
                </pt>
              </numCache>
            </numRef>
          </val>
        </ser>
        <ser>
          <idx val="7"/>
          <order val="7"/>
          <tx>
            <strRef>
              <f>GAM!$Q$2</f>
              <strCache>
                <ptCount val="1"/>
                <pt idx="0">
                  <v>EWJ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GAM!$Q$3:$Q$75</f>
              <numCache>
                <formatCode>0%</formatCode>
                <ptCount val="73"/>
                <pt idx="10">
                  <v>0.0726994864268397</v>
                </pt>
                <pt idx="11">
                  <v>0.1194591321317</v>
                </pt>
                <pt idx="12">
                  <v>0.0933721277138896</v>
                </pt>
                <pt idx="13">
                  <v>0.0919115646579806</v>
                </pt>
                <pt idx="14">
                  <v>0.0466738763785321</v>
                </pt>
                <pt idx="15">
                  <v>0.0214177501476117</v>
                </pt>
                <pt idx="16">
                  <v>0.0189193433728009</v>
                </pt>
                <pt idx="17">
                  <v>0.0189680676598216</v>
                </pt>
                <pt idx="18">
                  <v>0.0111907884638304</v>
                </pt>
                <pt idx="19">
                  <v>0.0126968941209784</v>
                </pt>
                <pt idx="20">
                  <v>0.0181967658865994</v>
                </pt>
                <pt idx="21">
                  <v>0.0212750112275182</v>
                </pt>
                <pt idx="22">
                  <v>0.0214431402220771</v>
                </pt>
                <pt idx="23">
                  <v>0.0155284108545138</v>
                </pt>
                <pt idx="24">
                  <v>0.0356148389419025</v>
                </pt>
                <pt idx="25">
                  <v>0.0304120375745373</v>
                </pt>
                <pt idx="26">
                  <v>0.0369154023580067</v>
                </pt>
                <pt idx="27">
                  <v>0.0678973542316831</v>
                </pt>
                <pt idx="28">
                  <v>0.0757942286258325</v>
                </pt>
                <pt idx="29">
                  <v>0.0590292905225671</v>
                </pt>
                <pt idx="30">
                  <v>0.0532036926750986</v>
                </pt>
                <pt idx="31">
                  <v>0.0447461110644559</v>
                </pt>
                <pt idx="32">
                  <v>0.0575854600298521</v>
                </pt>
                <pt idx="33">
                  <v>0.0548090205642524</v>
                </pt>
                <pt idx="34">
                  <v>0.067133540619858</v>
                </pt>
                <pt idx="35">
                  <v>0.06527595778217429</v>
                </pt>
                <pt idx="36">
                  <v>0.0578992185299457</v>
                </pt>
                <pt idx="37">
                  <v>0.0581553600755708</v>
                </pt>
                <pt idx="38">
                  <v>0.0568413450631446</v>
                </pt>
                <pt idx="39">
                  <v>0.0670813853628959</v>
                </pt>
                <pt idx="40">
                  <v>0.0622254102814139</v>
                </pt>
                <pt idx="41">
                  <v>0.0658019593566932</v>
                </pt>
                <pt idx="42">
                  <v>0.07544795193572131</v>
                </pt>
                <pt idx="43">
                  <v>0.0821997599938547</v>
                </pt>
                <pt idx="44">
                  <v>0.0526245482156917</v>
                </pt>
                <pt idx="45">
                  <v>0.0539168450004655</v>
                </pt>
                <pt idx="46">
                  <v>0.0520854819051331</v>
                </pt>
                <pt idx="47">
                  <v>0.0197537126676304</v>
                </pt>
                <pt idx="48">
                  <v>0.0190513143280597</v>
                </pt>
                <pt idx="49">
                  <v>0.0195339909905188</v>
                </pt>
                <pt idx="50">
                  <v>0.0603480852806967</v>
                </pt>
                <pt idx="51">
                  <v>0.06381595135445139</v>
                </pt>
                <pt idx="52">
                  <v>0.0669294914676526</v>
                </pt>
                <pt idx="53">
                  <v>0.0410785180924321</v>
                </pt>
                <pt idx="54">
                  <v>0.0499739541166051</v>
                </pt>
                <pt idx="55">
                  <v>0.0526764472528082</v>
                </pt>
                <pt idx="56">
                  <v>0.0435010053897554</v>
                </pt>
                <pt idx="57">
                  <v>0.050530338055884</v>
                </pt>
                <pt idx="58">
                  <v>0.08252214929600429</v>
                </pt>
                <pt idx="59">
                  <v>0.0559491274898481</v>
                </pt>
                <pt idx="60">
                  <v>0.0634192446863507</v>
                </pt>
                <pt idx="61">
                  <v>0.0899687969669799</v>
                </pt>
                <pt idx="62">
                  <v>0.10613825862571</v>
                </pt>
                <pt idx="63">
                  <v>0.085742745216158</v>
                </pt>
                <pt idx="64">
                  <v>0.07788374115117171</v>
                </pt>
                <pt idx="65">
                  <v>0.06414123832807719</v>
                </pt>
                <pt idx="66">
                  <v>0.07700975403069731</v>
                </pt>
                <pt idx="67">
                  <v>0.0456741105036084</v>
                </pt>
                <pt idx="68">
                  <v>0.0342058106604023</v>
                </pt>
                <pt idx="69">
                  <v>0.0413956656555801</v>
                </pt>
                <pt idx="70">
                  <v>0.0428</v>
                </pt>
                <pt idx="71">
                  <v>0.0576</v>
                </pt>
                <pt idx="72">
                  <v>0.0634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407418080"/>
        <axId val="1407420480"/>
      </barChart>
      <catAx>
        <axId val="140741808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07420480"/>
        <crosses val="autoZero"/>
        <auto val="1"/>
        <lblAlgn val="ctr"/>
        <lblOffset val="100"/>
        <noMultiLvlLbl val="0"/>
      </catAx>
      <valAx>
        <axId val="1407420480"/>
        <scaling>
          <orientation val="minMax"/>
          <max val="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0741808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GAM!$X$2</f>
              <strCache>
                <ptCount val="1"/>
                <pt idx="0">
                  <v>PDBC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GAM!$X$3:$X$75</f>
              <numCache>
                <formatCode>0%</formatCode>
                <ptCount val="73"/>
                <pt idx="24">
                  <formatCode>0.0%</formatCode>
                  <v>0.0016</v>
                </pt>
                <pt idx="25">
                  <formatCode>0.0%</formatCode>
                  <v>0.0056</v>
                </pt>
                <pt idx="26">
                  <formatCode>0.0%</formatCode>
                  <v>-0.0004</v>
                </pt>
                <pt idx="27">
                  <formatCode>0.0%</formatCode>
                  <v>0.0034</v>
                </pt>
                <pt idx="28">
                  <formatCode>0.0%</formatCode>
                  <v>0.0015</v>
                </pt>
                <pt idx="29">
                  <formatCode>0.0%</formatCode>
                  <v>0.0015</v>
                </pt>
                <pt idx="30">
                  <formatCode>0.0%</formatCode>
                  <v>0.0005999999999999999</v>
                </pt>
                <pt idx="31">
                  <formatCode>0.0%</formatCode>
                  <v>-0.0007</v>
                </pt>
                <pt idx="32">
                  <formatCode>0.0%</formatCode>
                  <v>0.0012</v>
                </pt>
                <pt idx="33">
                  <formatCode>0.0%</formatCode>
                  <v>0.0017</v>
                </pt>
                <pt idx="34">
                  <formatCode>0.0%</formatCode>
                  <v>-0.0034</v>
                </pt>
                <pt idx="35">
                  <formatCode>0.0%</formatCode>
                  <v>0.0027</v>
                </pt>
                <pt idx="36">
                  <formatCode>0.0%</formatCode>
                  <v>0.0025</v>
                </pt>
                <pt idx="37">
                  <formatCode>0.0%</formatCode>
                  <v>0.0025</v>
                </pt>
                <pt idx="38">
                  <formatCode>0.0%</formatCode>
                  <v>0.0048</v>
                </pt>
                <pt idx="39">
                  <formatCode>0.0%</formatCode>
                  <v>0.0031</v>
                </pt>
                <pt idx="40">
                  <formatCode>0.0%</formatCode>
                  <v>0.0023</v>
                </pt>
                <pt idx="41">
                  <formatCode>0.0%</formatCode>
                  <v>-0.0029</v>
                </pt>
                <pt idx="42">
                  <formatCode>0.0%</formatCode>
                  <v>-0.0013</v>
                </pt>
                <pt idx="43">
                  <formatCode>0.0%</formatCode>
                  <v>-0.0009</v>
                </pt>
                <pt idx="44">
                  <formatCode>0.0%</formatCode>
                  <v>-0.0048</v>
                </pt>
                <pt idx="45">
                  <formatCode>0.0%</formatCode>
                  <v>0.0033</v>
                </pt>
                <pt idx="46">
                  <formatCode>0.0%</formatCode>
                  <v>0.001</v>
                </pt>
                <pt idx="47">
                  <formatCode>0.0%</formatCode>
                  <v>-0.0022</v>
                </pt>
                <pt idx="48">
                  <formatCode>0.0%</formatCode>
                  <v>0.001</v>
                </pt>
                <pt idx="49">
                  <formatCode>0.0%</formatCode>
                  <v>-0.0042</v>
                </pt>
                <pt idx="50">
                  <formatCode>0.0%</formatCode>
                  <v>0.0002</v>
                </pt>
                <pt idx="51">
                  <formatCode>0.0%</formatCode>
                  <v>-0.0008</v>
                </pt>
                <pt idx="52">
                  <formatCode>0.0%</formatCode>
                  <v>-0.0055</v>
                </pt>
                <pt idx="53">
                  <formatCode>0.0%</formatCode>
                  <v>0.0026</v>
                </pt>
                <pt idx="54">
                  <formatCode>0.0%</formatCode>
                  <v>0.0057</v>
                </pt>
                <pt idx="55">
                  <formatCode>0.0%</formatCode>
                  <v>-0.0002</v>
                </pt>
                <pt idx="56">
                  <formatCode>0.0%</formatCode>
                  <v>0.0011</v>
                </pt>
                <pt idx="57">
                  <formatCode>0.0%</formatCode>
                  <v>-0.0018</v>
                </pt>
                <pt idx="58">
                  <formatCode>0.0%</formatCode>
                  <v>-0.0021</v>
                </pt>
                <pt idx="59">
                  <formatCode>0.0%</formatCode>
                  <v>-0.0031</v>
                </pt>
                <pt idx="60">
                  <formatCode>0.0%</formatCode>
                  <v>0.0012</v>
                </pt>
                <pt idx="61">
                  <formatCode>0.0%</formatCode>
                  <v>-0.0013</v>
                </pt>
                <pt idx="62">
                  <formatCode>0.0%</formatCode>
                  <v>0.0041</v>
                </pt>
                <pt idx="63">
                  <formatCode>0.0%</formatCode>
                  <v>0.0017</v>
                </pt>
                <pt idx="64">
                  <formatCode>0.0%</formatCode>
                  <v>-0.0003</v>
                </pt>
                <pt idx="65">
                  <formatCode>0.0%</formatCode>
                  <v>-0.0005</v>
                </pt>
                <pt idx="66">
                  <formatCode>0.0%</formatCode>
                  <v>-0.0021</v>
                </pt>
                <pt idx="67">
                  <formatCode>0.0%</formatCode>
                  <v>-0.0016</v>
                </pt>
                <pt idx="68">
                  <formatCode>0.0%</formatCode>
                  <v>0.0005999999999999999</v>
                </pt>
                <pt idx="69">
                  <formatCode>0.0%</formatCode>
                  <v>0.0012</v>
                </pt>
                <pt idx="70">
                  <formatCode>0.0%</formatCode>
                  <v>-0.0011</v>
                </pt>
                <pt idx="71">
                  <formatCode>0.0%</formatCode>
                  <v>0.0009</v>
                </pt>
                <pt idx="72">
                  <formatCode>0.0%</formatCode>
                  <v>0.0017</v>
                </pt>
              </numCache>
            </numRef>
          </val>
        </ser>
        <ser>
          <idx val="1"/>
          <order val="1"/>
          <tx>
            <strRef>
              <f>GAM!$Y$2</f>
              <strCache>
                <ptCount val="1"/>
                <pt idx="0">
                  <v>VWO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GAM!$Y$3:$Y$75</f>
              <numCache>
                <formatCode>0%</formatCode>
                <ptCount val="73"/>
                <pt idx="24">
                  <formatCode>0.0%</formatCode>
                  <v>0.0003</v>
                </pt>
                <pt idx="25">
                  <formatCode>0.0%</formatCode>
                  <v>0.0001</v>
                </pt>
                <pt idx="26">
                  <formatCode>0.0%</formatCode>
                  <v>-0.0001</v>
                </pt>
                <pt idx="27">
                  <formatCode>0.0%</formatCode>
                  <v>0.0001</v>
                </pt>
                <pt idx="28">
                  <formatCode>0.0%</formatCode>
                  <v>0.0003</v>
                </pt>
                <pt idx="29">
                  <formatCode>0.0%</formatCode>
                  <v>0.0002</v>
                </pt>
                <pt idx="30">
                  <formatCode>0.0%</formatCode>
                  <v>-0.0012</v>
                </pt>
                <pt idx="31">
                  <formatCode>0.0%</formatCode>
                  <v>0.0002</v>
                </pt>
                <pt idx="32">
                  <formatCode>0.0%</formatCode>
                  <v>-0.0008</v>
                </pt>
                <pt idx="33">
                  <formatCode>0.0%</formatCode>
                  <v>0.0002</v>
                </pt>
                <pt idx="34">
                  <formatCode>0.0%</formatCode>
                  <v>-0.001</v>
                </pt>
                <pt idx="35">
                  <formatCode>0.0%</formatCode>
                  <v>0.0004</v>
                </pt>
                <pt idx="36">
                  <formatCode>0.0%</formatCode>
                  <v>0</v>
                </pt>
                <pt idx="37">
                  <formatCode>0.0%</formatCode>
                  <v>-0.0008</v>
                </pt>
                <pt idx="38">
                  <formatCode>0.0%</formatCode>
                  <v>-0.0007</v>
                </pt>
                <pt idx="39">
                  <formatCode>0.0%</formatCode>
                  <v>-0.0011</v>
                </pt>
                <pt idx="40">
                  <formatCode>0.0%</formatCode>
                  <v>0.0001</v>
                </pt>
                <pt idx="41">
                  <formatCode>0.0%</formatCode>
                  <v>-0.0011</v>
                </pt>
                <pt idx="42">
                  <formatCode>0.0%</formatCode>
                  <v>0</v>
                </pt>
                <pt idx="43">
                  <formatCode>0.0%</formatCode>
                  <v>-0.0004</v>
                </pt>
                <pt idx="44">
                  <formatCode>0.0%</formatCode>
                  <v>-0.0028</v>
                </pt>
                <pt idx="45">
                  <formatCode>0.0%</formatCode>
                  <v>-0.0005</v>
                </pt>
                <pt idx="46">
                  <formatCode>0.0%</formatCode>
                  <v>0.0033</v>
                </pt>
                <pt idx="47">
                  <formatCode>0.0%</formatCode>
                  <v>-0.0002</v>
                </pt>
                <pt idx="48">
                  <formatCode>0.0%</formatCode>
                  <v>0.0005999999999999999</v>
                </pt>
                <pt idx="49">
                  <formatCode>0.0%</formatCode>
                  <v>-0.0005999999999999999</v>
                </pt>
                <pt idx="50">
                  <formatCode>0.0%</formatCode>
                  <v>0.0004</v>
                </pt>
                <pt idx="51">
                  <formatCode>0.0%</formatCode>
                  <v>-0.0002</v>
                </pt>
                <pt idx="52">
                  <formatCode>0.0%</formatCode>
                  <v>-0.0005</v>
                </pt>
                <pt idx="53">
                  <formatCode>0.0%</formatCode>
                  <v>0.0007</v>
                </pt>
                <pt idx="54">
                  <formatCode>0.0%</formatCode>
                  <v>0.0009</v>
                </pt>
                <pt idx="55">
                  <formatCode>0.0%</formatCode>
                  <v>-0.0011</v>
                </pt>
                <pt idx="56">
                  <formatCode>0.0%</formatCode>
                  <v>-0.0005</v>
                </pt>
                <pt idx="57">
                  <formatCode>0.0%</formatCode>
                  <v>-0.0005999999999999999</v>
                </pt>
                <pt idx="58">
                  <formatCode>0.0%</formatCode>
                  <v>0.0023</v>
                </pt>
                <pt idx="59">
                  <formatCode>0.0%</formatCode>
                  <v>0.0008</v>
                </pt>
                <pt idx="60">
                  <formatCode>0.0%</formatCode>
                  <v>-0.001</v>
                </pt>
                <pt idx="61">
                  <formatCode>0.0%</formatCode>
                  <v>0.0012</v>
                </pt>
                <pt idx="62">
                  <formatCode>0.0%</formatCode>
                  <v>0.0009</v>
                </pt>
                <pt idx="63">
                  <formatCode>0.0%</formatCode>
                  <v>0</v>
                </pt>
                <pt idx="64">
                  <formatCode>0.0%</formatCode>
                  <v>0.0005999999999999999</v>
                </pt>
                <pt idx="65">
                  <formatCode>0.0%</formatCode>
                  <v>0.0008</v>
                </pt>
                <pt idx="66">
                  <formatCode>0.0%</formatCode>
                  <v>0.0003</v>
                </pt>
                <pt idx="67">
                  <formatCode>0.0%</formatCode>
                  <v>0</v>
                </pt>
                <pt idx="68">
                  <formatCode>0.0%</formatCode>
                  <v>0.0007</v>
                </pt>
                <pt idx="69">
                  <formatCode>0.0%</formatCode>
                  <v>-0.0005</v>
                </pt>
                <pt idx="70">
                  <formatCode>0.0%</formatCode>
                  <v>-0.0004</v>
                </pt>
                <pt idx="71">
                  <formatCode>0.0%</formatCode>
                  <v>-0.0004</v>
                </pt>
                <pt idx="72">
                  <formatCode>0.0%</formatCode>
                  <v>0.0005999999999999999</v>
                </pt>
              </numCache>
            </numRef>
          </val>
        </ser>
        <ser>
          <idx val="2"/>
          <order val="2"/>
          <tx>
            <strRef>
              <f>GAM!$Z$2</f>
              <strCache>
                <ptCount val="1"/>
                <pt idx="0">
                  <v>IEV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GAM!$Z$3:$Z$75</f>
              <numCache>
                <formatCode>0%</formatCode>
                <ptCount val="73"/>
                <pt idx="24">
                  <formatCode>0.0%</formatCode>
                  <v>-0.0005</v>
                </pt>
                <pt idx="25">
                  <formatCode>0.0%</formatCode>
                  <v>0.0008</v>
                </pt>
                <pt idx="26">
                  <formatCode>0.0%</formatCode>
                  <v>0.0013</v>
                </pt>
                <pt idx="27">
                  <formatCode>0.0%</formatCode>
                  <v>0.0028</v>
                </pt>
                <pt idx="28">
                  <formatCode>0.0%</formatCode>
                  <v>0.0034</v>
                </pt>
                <pt idx="29">
                  <formatCode>0.0%</formatCode>
                  <v>-0.0008</v>
                </pt>
                <pt idx="30">
                  <formatCode>0.0%</formatCode>
                  <v>0.0009</v>
                </pt>
                <pt idx="31">
                  <formatCode>0.0%</formatCode>
                  <v>0.0008</v>
                </pt>
                <pt idx="32">
                  <formatCode>0.0%</formatCode>
                  <v>-0.0032</v>
                </pt>
                <pt idx="33">
                  <formatCode>0.0%</formatCode>
                  <v>0.0028</v>
                </pt>
                <pt idx="34">
                  <formatCode>0.0%</formatCode>
                  <v>-0.0031</v>
                </pt>
                <pt idx="35">
                  <formatCode>0.0%</formatCode>
                  <v>0.0035</v>
                </pt>
                <pt idx="36">
                  <formatCode>0.0%</formatCode>
                  <v>-0.0019</v>
                </pt>
                <pt idx="37">
                  <formatCode>0.0%</formatCode>
                  <v>-0.0034</v>
                </pt>
                <pt idx="38">
                  <formatCode>0.0%</formatCode>
                  <v>0.0001</v>
                </pt>
                <pt idx="39">
                  <formatCode>0.0%</formatCode>
                  <v>-0.0041</v>
                </pt>
                <pt idx="40">
                  <formatCode>0.0%</formatCode>
                  <v>0.0018</v>
                </pt>
                <pt idx="41">
                  <formatCode>0.0%</formatCode>
                  <v>-0.0059</v>
                </pt>
                <pt idx="42">
                  <formatCode>0.0%</formatCode>
                  <v>0.003</v>
                </pt>
                <pt idx="43">
                  <formatCode>0.0%</formatCode>
                  <v>-0.0044</v>
                </pt>
                <pt idx="44">
                  <formatCode>0.0%</formatCode>
                  <v>-0.0041</v>
                </pt>
                <pt idx="45">
                  <formatCode>0.0%</formatCode>
                  <v>0.0036</v>
                </pt>
                <pt idx="46">
                  <formatCode>0.0%</formatCode>
                  <v>0.0052</v>
                </pt>
                <pt idx="47">
                  <formatCode>0.0%</formatCode>
                  <v>0</v>
                </pt>
                <pt idx="48">
                  <formatCode>0.0%</formatCode>
                  <v>0.0014</v>
                </pt>
                <pt idx="49">
                  <formatCode>0.0%</formatCode>
                  <v>-0.0004</v>
                </pt>
                <pt idx="50">
                  <formatCode>0.0%</formatCode>
                  <v>0.0012</v>
                </pt>
                <pt idx="51">
                  <formatCode>0.0%</formatCode>
                  <v>0.0024</v>
                </pt>
                <pt idx="52">
                  <formatCode>0.0%</formatCode>
                  <v>-0.0032</v>
                </pt>
                <pt idx="53">
                  <formatCode>0.0%</formatCode>
                  <v>0.0018</v>
                </pt>
                <pt idx="54">
                  <formatCode>0.0%</formatCode>
                  <v>0.0014</v>
                </pt>
                <pt idx="55">
                  <formatCode>0.0%</formatCode>
                  <v>-0.0019</v>
                </pt>
                <pt idx="56">
                  <formatCode>0.0%</formatCode>
                  <v>-0.002</v>
                </pt>
                <pt idx="57">
                  <formatCode>0.0%</formatCode>
                  <v>-0.0014</v>
                </pt>
                <pt idx="58">
                  <formatCode>0.0%</formatCode>
                  <v>0.0074</v>
                </pt>
                <pt idx="59">
                  <formatCode>0.0%</formatCode>
                  <v>0.003</v>
                </pt>
                <pt idx="60">
                  <formatCode>0.0%</formatCode>
                  <v>-0.0005</v>
                </pt>
                <pt idx="61">
                  <formatCode>0.0%</formatCode>
                  <v>0.002</v>
                </pt>
                <pt idx="62">
                  <formatCode>0.0%</formatCode>
                  <v>0.0033</v>
                </pt>
                <pt idx="63">
                  <formatCode>0.0%</formatCode>
                  <v>-0.0019</v>
                </pt>
                <pt idx="64">
                  <formatCode>0.0%</formatCode>
                  <v>0.0047</v>
                </pt>
                <pt idx="65">
                  <formatCode>0.0%</formatCode>
                  <v>-0.0023</v>
                </pt>
                <pt idx="66">
                  <formatCode>0.0%</formatCode>
                  <v>0.0017</v>
                </pt>
                <pt idx="67">
                  <formatCode>0.0%</formatCode>
                  <v>0.0016</v>
                </pt>
                <pt idx="68">
                  <formatCode>0.0%</formatCode>
                  <v>-0.0001</v>
                </pt>
                <pt idx="69">
                  <formatCode>0.0%</formatCode>
                  <v>-0.0033</v>
                </pt>
                <pt idx="70">
                  <formatCode>0.0%</formatCode>
                  <v>-0.0011</v>
                </pt>
                <pt idx="71">
                  <formatCode>0.0%</formatCode>
                  <v>-0.002</v>
                </pt>
                <pt idx="72">
                  <formatCode>0.0%</formatCode>
                  <v>0.0052</v>
                </pt>
              </numCache>
            </numRef>
          </val>
        </ser>
        <ser>
          <idx val="3"/>
          <order val="3"/>
          <tx>
            <strRef>
              <f>GAM!$AA$2</f>
              <strCache>
                <ptCount val="1"/>
                <pt idx="0">
                  <v>BWX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val>
            <numRef>
              <f>GAM!$AA$3:$AA$75</f>
              <numCache>
                <formatCode>0%</formatCode>
                <ptCount val="73"/>
                <pt idx="24">
                  <formatCode>0.0%</formatCode>
                  <v>-0.0005999999999999999</v>
                </pt>
                <pt idx="25">
                  <formatCode>0.0%</formatCode>
                  <v>-0.0017</v>
                </pt>
                <pt idx="26">
                  <formatCode>0.0%</formatCode>
                  <v>-0.0022</v>
                </pt>
                <pt idx="27">
                  <formatCode>0.0%</formatCode>
                  <v>0.0008</v>
                </pt>
                <pt idx="28">
                  <formatCode>0.0%</formatCode>
                  <v>0.0003</v>
                </pt>
                <pt idx="29">
                  <formatCode>0.0%</formatCode>
                  <v>-0.0005999999999999999</v>
                </pt>
                <pt idx="30">
                  <formatCode>0.0%</formatCode>
                  <v>0.0005</v>
                </pt>
                <pt idx="31">
                  <formatCode>0.0%</formatCode>
                  <v>-0.0004</v>
                </pt>
                <pt idx="32">
                  <formatCode>0.0%</formatCode>
                  <v>-0.0005999999999999999</v>
                </pt>
                <pt idx="33">
                  <formatCode>0.0%</formatCode>
                  <v>-0.0002</v>
                </pt>
                <pt idx="34">
                  <formatCode>0.0%</formatCode>
                  <v>-0.0002</v>
                </pt>
                <pt idx="35">
                  <formatCode>0.0%</formatCode>
                  <v>-0.0001</v>
                </pt>
                <pt idx="36">
                  <formatCode>0.0%</formatCode>
                  <v>-0.0009</v>
                </pt>
                <pt idx="37">
                  <formatCode>0.0%</formatCode>
                  <v>-0.0004</v>
                </pt>
                <pt idx="38">
                  <formatCode>0.0%</formatCode>
                  <v>-0.0021</v>
                </pt>
                <pt idx="39">
                  <formatCode>0.0%</formatCode>
                  <v>-0.0041</v>
                </pt>
                <pt idx="40">
                  <formatCode>0.0%</formatCode>
                  <v>0.0004</v>
                </pt>
                <pt idx="41">
                  <formatCode>0.0%</formatCode>
                  <v>-0.0025</v>
                </pt>
                <pt idx="42">
                  <formatCode>0.0%</formatCode>
                  <v>0.0008</v>
                </pt>
                <pt idx="43">
                  <formatCode>0.0%</formatCode>
                  <v>-0.002</v>
                </pt>
                <pt idx="44">
                  <formatCode>0.0%</formatCode>
                  <v>-0.0048</v>
                </pt>
                <pt idx="45">
                  <formatCode>0.0%</formatCode>
                  <v>0.0003</v>
                </pt>
                <pt idx="46">
                  <formatCode>0.0%</formatCode>
                  <v>0.0052</v>
                </pt>
                <pt idx="47">
                  <formatCode>0.0%</formatCode>
                  <v>-0.0005999999999999999</v>
                </pt>
                <pt idx="48">
                  <formatCode>0.0%</formatCode>
                  <v>0.003</v>
                </pt>
                <pt idx="49">
                  <formatCode>0.0%</formatCode>
                  <v>-0.0041</v>
                </pt>
                <pt idx="50">
                  <formatCode>0.0%</formatCode>
                  <v>0.0028</v>
                </pt>
                <pt idx="51">
                  <formatCode>0.0%</formatCode>
                  <v>-0.0001</v>
                </pt>
                <pt idx="52">
                  <formatCode>0.0%</formatCode>
                  <v>-0.0015</v>
                </pt>
                <pt idx="53">
                  <formatCode>0.0%</formatCode>
                  <v>0.0004</v>
                </pt>
                <pt idx="54">
                  <formatCode>0.0%</formatCode>
                  <v>0.0005</v>
                </pt>
                <pt idx="55">
                  <formatCode>0.0%</formatCode>
                  <v>-0.0014</v>
                </pt>
                <pt idx="56">
                  <formatCode>0.0%</formatCode>
                  <v>-0.0025</v>
                </pt>
                <pt idx="57">
                  <formatCode>0.0%</formatCode>
                  <v>-0.0009</v>
                </pt>
                <pt idx="58">
                  <formatCode>0.0%</formatCode>
                  <v>0.0024</v>
                </pt>
                <pt idx="59">
                  <formatCode>0.0%</formatCode>
                  <v>0.0032</v>
                </pt>
                <pt idx="60">
                  <formatCode>0.0%</formatCode>
                  <v>-0.0022</v>
                </pt>
                <pt idx="61">
                  <formatCode>0.0%</formatCode>
                  <v>0</v>
                </pt>
                <pt idx="62">
                  <formatCode>0.0%</formatCode>
                  <v>0.0001</v>
                </pt>
                <pt idx="63">
                  <formatCode>0.0%</formatCode>
                  <v>-0.0012</v>
                </pt>
                <pt idx="64">
                  <formatCode>0.0%</formatCode>
                  <v>0.0005</v>
                </pt>
                <pt idx="65">
                  <formatCode>0.0%</formatCode>
                  <v>-0.0003</v>
                </pt>
                <pt idx="66">
                  <formatCode>0.0%</formatCode>
                  <v>0.0012</v>
                </pt>
                <pt idx="67">
                  <formatCode>0.0%</formatCode>
                  <v>0.0021</v>
                </pt>
                <pt idx="68">
                  <formatCode>0.0%</formatCode>
                  <v>0.0017</v>
                </pt>
                <pt idx="69">
                  <formatCode>0.0%</formatCode>
                  <v>-0.0023</v>
                </pt>
                <pt idx="70">
                  <formatCode>0.0%</formatCode>
                  <v>0.0001</v>
                </pt>
                <pt idx="71">
                  <formatCode>0.0%</formatCode>
                  <v>-0.001</v>
                </pt>
                <pt idx="72">
                  <formatCode>0.0%</formatCode>
                  <v>0</v>
                </pt>
              </numCache>
            </numRef>
          </val>
        </ser>
        <ser>
          <idx val="4"/>
          <order val="4"/>
          <tx>
            <strRef>
              <f>GAM!$AB$2</f>
              <strCache>
                <ptCount val="1"/>
                <pt idx="0">
                  <v>IAU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val>
            <numRef>
              <f>GAM!$AB$3:$AB$75</f>
              <numCache>
                <formatCode>0%</formatCode>
                <ptCount val="73"/>
                <pt idx="24">
                  <formatCode>0.0%</formatCode>
                  <v>-0.0017</v>
                </pt>
                <pt idx="25">
                  <formatCode>0.0%</formatCode>
                  <v>-0.005</v>
                </pt>
                <pt idx="26">
                  <formatCode>0.0%</formatCode>
                  <v>-0.001</v>
                </pt>
                <pt idx="27">
                  <formatCode>0.0%</formatCode>
                  <v>0.0028</v>
                </pt>
                <pt idx="28">
                  <formatCode>0.0%</formatCode>
                  <v>0.0054</v>
                </pt>
                <pt idx="29">
                  <formatCode>0.0%</formatCode>
                  <v>-0.0056</v>
                </pt>
                <pt idx="30">
                  <formatCode>0.0%</formatCode>
                  <v>0.0016</v>
                </pt>
                <pt idx="31">
                  <formatCode>0.0%</formatCode>
                  <v>0</v>
                </pt>
                <pt idx="32">
                  <formatCode>0.0%</formatCode>
                  <v>-0.0017</v>
                </pt>
                <pt idx="33">
                  <formatCode>0.0%</formatCode>
                  <v>0.001</v>
                </pt>
                <pt idx="34">
                  <formatCode>0.0%</formatCode>
                  <v>-0.0005</v>
                </pt>
                <pt idx="35">
                  <formatCode>0.0%</formatCode>
                  <v>0.0028</v>
                </pt>
                <pt idx="36">
                  <formatCode>0.0%</formatCode>
                  <v>-0.0015</v>
                </pt>
                <pt idx="37">
                  <formatCode>0.0%</formatCode>
                  <v>0.006</v>
                </pt>
                <pt idx="38">
                  <formatCode>0.0%</formatCode>
                  <v>0.0011</v>
                </pt>
                <pt idx="39">
                  <formatCode>0.0%</formatCode>
                  <v>-0.0025</v>
                </pt>
                <pt idx="40">
                  <formatCode>0.0%</formatCode>
                  <v>-0.0041</v>
                </pt>
                <pt idx="41">
                  <formatCode>0.0%</formatCode>
                  <v>-0.0021</v>
                </pt>
                <pt idx="42">
                  <formatCode>0.0%</formatCode>
                  <v>-0.0039</v>
                </pt>
                <pt idx="43">
                  <formatCode>0.0%</formatCode>
                  <v>-0.0041</v>
                </pt>
                <pt idx="44">
                  <formatCode>0.0%</formatCode>
                  <v>-0.0051</v>
                </pt>
                <pt idx="45">
                  <formatCode>0.0%</formatCode>
                  <v>-0.0032</v>
                </pt>
                <pt idx="46">
                  <formatCode>0.0%</formatCode>
                  <v>0.0161</v>
                </pt>
                <pt idx="47">
                  <formatCode>0.0%</formatCode>
                  <v>0.0063</v>
                </pt>
                <pt idx="48">
                  <formatCode>0.0%</formatCode>
                  <v>0.0129</v>
                </pt>
                <pt idx="49">
                  <formatCode>0.0%</formatCode>
                  <v>-0.0126</v>
                </pt>
                <pt idx="50">
                  <formatCode>0.0%</formatCode>
                  <v>0.0137</v>
                </pt>
                <pt idx="51">
                  <formatCode>0.0%</formatCode>
                  <v>0.0015</v>
                </pt>
                <pt idx="52">
                  <formatCode>0.0%</formatCode>
                  <v>-0.0019</v>
                </pt>
                <pt idx="53">
                  <formatCode>0.0%</formatCode>
                  <v>-0.004</v>
                </pt>
                <pt idx="54">
                  <formatCode>0.0%</formatCode>
                  <v>0.0034</v>
                </pt>
                <pt idx="55">
                  <formatCode>0.0%</formatCode>
                  <v>-0.0019</v>
                </pt>
                <pt idx="56">
                  <formatCode>0.0%</formatCode>
                  <v>-0.008800000000000001</v>
                </pt>
                <pt idx="57">
                  <formatCode>0.0%</formatCode>
                  <v>0.0146</v>
                </pt>
                <pt idx="58">
                  <formatCode>0.0%</formatCode>
                  <v>0.0027</v>
                </pt>
                <pt idx="59">
                  <formatCode>0.0%</formatCode>
                  <v>0.0012</v>
                </pt>
                <pt idx="60">
                  <formatCode>0.0%</formatCode>
                  <v>-0.0024</v>
                </pt>
                <pt idx="61">
                  <formatCode>0.0%</formatCode>
                  <v>0.001</v>
                </pt>
                <pt idx="62">
                  <formatCode>0.0%</formatCode>
                  <v>0.008200000000000001</v>
                </pt>
                <pt idx="63">
                  <formatCode>0.0%</formatCode>
                  <v>0.0028</v>
                </pt>
                <pt idx="64">
                  <formatCode>0.0%</formatCode>
                  <v>0.0015</v>
                </pt>
                <pt idx="65">
                  <formatCode>0.0%</formatCode>
                  <v>0</v>
                </pt>
                <pt idx="66">
                  <formatCode>0.0%</formatCode>
                  <v>0.0039</v>
                </pt>
                <pt idx="67">
                  <formatCode>0.0%</formatCode>
                  <v>0.0022</v>
                </pt>
                <pt idx="68">
                  <formatCode>0.0%</formatCode>
                  <v>0.0055</v>
                </pt>
                <pt idx="69">
                  <formatCode>0.0%</formatCode>
                  <v>0.0037</v>
                </pt>
                <pt idx="70">
                  <formatCode>0.0%</formatCode>
                  <v>-0.0027</v>
                </pt>
                <pt idx="71">
                  <formatCode>0.0%</formatCode>
                  <v>-0.0011</v>
                </pt>
                <pt idx="72">
                  <formatCode>0.0%</formatCode>
                  <v>0.0045</v>
                </pt>
              </numCache>
            </numRef>
          </val>
        </ser>
        <ser>
          <idx val="5"/>
          <order val="5"/>
          <tx>
            <strRef>
              <f>GAM!$AC$2</f>
              <strCache>
                <ptCount val="1"/>
                <pt idx="0">
                  <v>VEA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GAM!$AC$3:$AC$75</f>
              <numCache>
                <formatCode>0%</formatCode>
                <ptCount val="73"/>
                <pt idx="24">
                  <formatCode>0.0%</formatCode>
                  <v>-0.0012</v>
                </pt>
                <pt idx="25">
                  <formatCode>0.0%</formatCode>
                  <v>-0.0028</v>
                </pt>
                <pt idx="26">
                  <formatCode>0.0%</formatCode>
                  <v>0.0001</v>
                </pt>
                <pt idx="27">
                  <formatCode>0.0%</formatCode>
                  <v>-0.0004</v>
                </pt>
                <pt idx="28">
                  <formatCode>0.0%</formatCode>
                  <v>0</v>
                </pt>
                <pt idx="29">
                  <formatCode>0.0%</formatCode>
                  <v>0.0007</v>
                </pt>
                <pt idx="30">
                  <formatCode>0.0%</formatCode>
                  <v>0.0031</v>
                </pt>
                <pt idx="31">
                  <formatCode>0.0%</formatCode>
                  <v>-0.0011</v>
                </pt>
                <pt idx="32">
                  <formatCode>0.0%</formatCode>
                  <v>-0.0026</v>
                </pt>
                <pt idx="33">
                  <formatCode>0.0%</formatCode>
                  <v>-0.0011</v>
                </pt>
                <pt idx="34">
                  <formatCode>0.0%</formatCode>
                  <v>0.0022</v>
                </pt>
                <pt idx="35">
                  <formatCode>0.0%</formatCode>
                  <v>-0.0015</v>
                </pt>
                <pt idx="36">
                  <formatCode>0.0%</formatCode>
                  <v>-0.0029</v>
                </pt>
                <pt idx="37">
                  <formatCode>0.0%</formatCode>
                  <v>-0.0029</v>
                </pt>
                <pt idx="38">
                  <formatCode>0.0%</formatCode>
                  <v>-0.0041</v>
                </pt>
                <pt idx="39">
                  <formatCode>0.0%</formatCode>
                  <v>-0.0052</v>
                </pt>
                <pt idx="40">
                  <formatCode>0.0%</formatCode>
                  <v>-0.0011</v>
                </pt>
                <pt idx="41">
                  <formatCode>0.0%</formatCode>
                  <v>-0.0029</v>
                </pt>
                <pt idx="42">
                  <formatCode>0.0%</formatCode>
                  <v>0.0049</v>
                </pt>
                <pt idx="43">
                  <formatCode>0.0%</formatCode>
                  <v>-0.0055</v>
                </pt>
                <pt idx="44">
                  <formatCode>0.0%</formatCode>
                  <v>-0.0026</v>
                </pt>
                <pt idx="45">
                  <formatCode>0.0%</formatCode>
                  <v>0.0005</v>
                </pt>
                <pt idx="46">
                  <formatCode>0.0%</formatCode>
                  <v>0.0017</v>
                </pt>
                <pt idx="47">
                  <formatCode>0.0%</formatCode>
                  <v>-0.0005999999999999999</v>
                </pt>
                <pt idx="48">
                  <formatCode>0.0%</formatCode>
                  <v>0.0007</v>
                </pt>
                <pt idx="49">
                  <formatCode>0.0%</formatCode>
                  <v>-0.0005999999999999999</v>
                </pt>
                <pt idx="50">
                  <formatCode>0.0%</formatCode>
                  <v>0.0023</v>
                </pt>
                <pt idx="51">
                  <formatCode>0.0%</formatCode>
                  <v>0.0002</v>
                </pt>
                <pt idx="52">
                  <formatCode>0.0%</formatCode>
                  <v>0.0002</v>
                </pt>
                <pt idx="53">
                  <formatCode>0.0%</formatCode>
                  <v>0</v>
                </pt>
                <pt idx="54">
                  <formatCode>0.0%</formatCode>
                  <v>0</v>
                </pt>
                <pt idx="55">
                  <formatCode>0.0%</formatCode>
                  <v>0.0002</v>
                </pt>
                <pt idx="56">
                  <formatCode>0.0%</formatCode>
                  <v>-0.0017</v>
                </pt>
                <pt idx="57">
                  <formatCode>0.0%</formatCode>
                  <v>-0.0002</v>
                </pt>
                <pt idx="58">
                  <formatCode>0.0%</formatCode>
                  <v>0.0042</v>
                </pt>
                <pt idx="59">
                  <formatCode>0.0%</formatCode>
                  <v>0.0028</v>
                </pt>
                <pt idx="60">
                  <formatCode>0.0%</formatCode>
                  <v>-0.0005</v>
                </pt>
                <pt idx="61">
                  <formatCode>0.0%</formatCode>
                  <v>-0.0008</v>
                </pt>
                <pt idx="62">
                  <formatCode>0.0%</formatCode>
                  <v>0.0013</v>
                </pt>
                <pt idx="63">
                  <formatCode>0.0%</formatCode>
                  <v>-0.0017</v>
                </pt>
                <pt idx="64">
                  <formatCode>0.0%</formatCode>
                  <v>0.0004</v>
                </pt>
                <pt idx="65">
                  <formatCode>0.0%</formatCode>
                  <v>0.0009</v>
                </pt>
                <pt idx="66">
                  <formatCode>0.0%</formatCode>
                  <v>0.0031</v>
                </pt>
                <pt idx="67">
                  <formatCode>0.0%</formatCode>
                  <v>0.0005</v>
                </pt>
                <pt idx="68">
                  <formatCode>0.0%</formatCode>
                  <v>0.0014</v>
                </pt>
                <pt idx="69">
                  <formatCode>0.0%</formatCode>
                  <v>-0.0016</v>
                </pt>
                <pt idx="70">
                  <formatCode>0.0%</formatCode>
                  <v>0.0029</v>
                </pt>
                <pt idx="71">
                  <formatCode>0.0%</formatCode>
                  <v>-0.0015</v>
                </pt>
                <pt idx="72">
                  <formatCode>0.0%</formatCode>
                  <v>0.0004</v>
                </pt>
              </numCache>
            </numRef>
          </val>
        </ser>
        <ser>
          <idx val="6"/>
          <order val="6"/>
          <tx>
            <strRef>
              <f>GAM!$AD$2</f>
              <strCache>
                <ptCount val="1"/>
                <pt idx="0">
                  <v>RWX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GAM!$AD$3:$AD$75</f>
              <numCache>
                <formatCode>0%</formatCode>
                <ptCount val="73"/>
                <pt idx="24">
                  <formatCode>0.0%</formatCode>
                  <v>-0.0001</v>
                </pt>
                <pt idx="25">
                  <formatCode>0.0%</formatCode>
                  <v>0.0002</v>
                </pt>
                <pt idx="26">
                  <formatCode>0.0%</formatCode>
                  <v>0.0002</v>
                </pt>
                <pt idx="27">
                  <formatCode>0.0%</formatCode>
                  <v>0.0015</v>
                </pt>
                <pt idx="28">
                  <formatCode>0.0%</formatCode>
                  <v>0.0012</v>
                </pt>
                <pt idx="29">
                  <formatCode>0.0%</formatCode>
                  <v>-0.0001</v>
                </pt>
                <pt idx="30">
                  <formatCode>0.0%</formatCode>
                  <v>0.0007</v>
                </pt>
                <pt idx="31">
                  <formatCode>0.0%</formatCode>
                  <v>0.0001</v>
                </pt>
                <pt idx="32">
                  <formatCode>0.0%</formatCode>
                  <v>-0.001</v>
                </pt>
                <pt idx="33">
                  <formatCode>0.0%</formatCode>
                  <v>0.0005999999999999999</v>
                </pt>
                <pt idx="34">
                  <formatCode>0.0%</formatCode>
                  <v>-0.001</v>
                </pt>
                <pt idx="35">
                  <formatCode>0.0%</formatCode>
                  <v>0.001</v>
                </pt>
                <pt idx="36">
                  <formatCode>0.0%</formatCode>
                  <v>-0.0011</v>
                </pt>
                <pt idx="37">
                  <formatCode>0.0%</formatCode>
                  <v>-0.0004</v>
                </pt>
                <pt idx="38">
                  <formatCode>0.0%</formatCode>
                  <v>0.0007</v>
                </pt>
                <pt idx="39">
                  <formatCode>0.0%</formatCode>
                  <v>-0.0022</v>
                </pt>
                <pt idx="40">
                  <formatCode>0.0%</formatCode>
                  <v>0.0001</v>
                </pt>
                <pt idx="41">
                  <formatCode>0.0%</formatCode>
                  <v>-0.0034</v>
                </pt>
                <pt idx="42">
                  <formatCode>0.0%</formatCode>
                  <v>0.0021</v>
                </pt>
                <pt idx="43">
                  <formatCode>0.0%</formatCode>
                  <v>-0.0022</v>
                </pt>
                <pt idx="44">
                  <formatCode>0.0%</formatCode>
                  <v>-0.0026</v>
                </pt>
                <pt idx="45">
                  <formatCode>0.0%</formatCode>
                  <v>0.0003</v>
                </pt>
                <pt idx="46">
                  <formatCode>0.0%</formatCode>
                  <v>0.0016</v>
                </pt>
                <pt idx="47">
                  <formatCode>0.0%</formatCode>
                  <v>0.0001</v>
                </pt>
                <pt idx="48">
                  <formatCode>0.0%</formatCode>
                  <v>0.0004</v>
                </pt>
                <pt idx="49">
                  <formatCode>0.0%</formatCode>
                  <v>-0.0003</v>
                </pt>
                <pt idx="50">
                  <formatCode>0.0%</formatCode>
                  <v>-0.0003</v>
                </pt>
                <pt idx="51">
                  <formatCode>0.0%</formatCode>
                  <v>0.0009</v>
                </pt>
                <pt idx="52">
                  <formatCode>0.0%</formatCode>
                  <v>-0.0016</v>
                </pt>
                <pt idx="53">
                  <formatCode>0.0%</formatCode>
                  <v>-0.0001</v>
                </pt>
                <pt idx="54">
                  <formatCode>0.0%</formatCode>
                  <v>0.001</v>
                </pt>
                <pt idx="55">
                  <formatCode>0.0%</formatCode>
                  <v>-0.0007</v>
                </pt>
                <pt idx="56">
                  <formatCode>0.0%</formatCode>
                  <v>-0.0009</v>
                </pt>
                <pt idx="57">
                  <formatCode>0.0%</formatCode>
                  <v>-0.0007</v>
                </pt>
                <pt idx="58">
                  <formatCode>0.0%</formatCode>
                  <v>0.0031</v>
                </pt>
                <pt idx="59">
                  <formatCode>0.0%</formatCode>
                  <v>0.0017</v>
                </pt>
                <pt idx="60">
                  <formatCode>0.0%</formatCode>
                  <v>-0.0009</v>
                </pt>
                <pt idx="61">
                  <formatCode>0.0%</formatCode>
                  <v>-0.0008</v>
                </pt>
                <pt idx="62">
                  <formatCode>0.0%</formatCode>
                  <v>0.0014</v>
                </pt>
                <pt idx="63">
                  <formatCode>0.0%</formatCode>
                  <v>-0.0013</v>
                </pt>
                <pt idx="64">
                  <formatCode>0.0%</formatCode>
                  <v>0.0005</v>
                </pt>
                <pt idx="65">
                  <formatCode>0.0%</formatCode>
                  <v>-0.0009</v>
                </pt>
                <pt idx="66">
                  <formatCode>0.0%</formatCode>
                  <v>0.0015</v>
                </pt>
                <pt idx="67">
                  <formatCode>0.0%</formatCode>
                  <v>0.0011</v>
                </pt>
                <pt idx="68">
                  <formatCode>0.0%</formatCode>
                  <v>0.0004</v>
                </pt>
                <pt idx="69">
                  <formatCode>0.0%</formatCode>
                  <v>-0.002</v>
                </pt>
                <pt idx="70">
                  <formatCode>0.0%</formatCode>
                  <v>-0.0003</v>
                </pt>
                <pt idx="71">
                  <formatCode>0.0%</formatCode>
                  <v>-0.0017</v>
                </pt>
                <pt idx="72">
                  <formatCode>0.0%</formatCode>
                  <v>0.0011</v>
                </pt>
              </numCache>
            </numRef>
          </val>
        </ser>
        <ser>
          <idx val="7"/>
          <order val="7"/>
          <tx>
            <strRef>
              <f>GAM!$AE$2</f>
              <strCache>
                <ptCount val="1"/>
                <pt idx="0">
                  <v>EWJ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GAM!$AE$3:$AE$75</f>
              <numCache>
                <formatCode>0%</formatCode>
                <ptCount val="73"/>
                <pt idx="24">
                  <formatCode>0.0%</formatCode>
                  <v>-0.0001</v>
                </pt>
                <pt idx="25">
                  <formatCode>0.0%</formatCode>
                  <v>0.0005999999999999999</v>
                </pt>
                <pt idx="26">
                  <formatCode>0.0%</formatCode>
                  <v>0.0001</v>
                </pt>
                <pt idx="27">
                  <formatCode>0.0%</formatCode>
                  <v>-0.0013</v>
                </pt>
                <pt idx="28">
                  <formatCode>0.0%</formatCode>
                  <v>0.0012</v>
                </pt>
                <pt idx="29">
                  <formatCode>0.0%</formatCode>
                  <v>-0.0005999999999999999</v>
                </pt>
                <pt idx="30">
                  <formatCode>0.0%</formatCode>
                  <v>-0.0003</v>
                </pt>
                <pt idx="31">
                  <formatCode>0.0%</formatCode>
                  <v>0.0009</v>
                </pt>
                <pt idx="32">
                  <formatCode>0.0%</formatCode>
                  <v>0.0013</v>
                </pt>
                <pt idx="33">
                  <formatCode>0.0%</formatCode>
                  <v>-0.0015</v>
                </pt>
                <pt idx="34">
                  <formatCode>0.0%</formatCode>
                  <v>-0.0022</v>
                </pt>
                <pt idx="35">
                  <formatCode>0.0%</formatCode>
                  <v>0.0015</v>
                </pt>
                <pt idx="36">
                  <formatCode>0.0%</formatCode>
                  <v>-0.0025</v>
                </pt>
                <pt idx="37">
                  <formatCode>0.0%</formatCode>
                  <v>-0.001</v>
                </pt>
                <pt idx="38">
                  <formatCode>0.0%</formatCode>
                  <v>-0.0012</v>
                </pt>
                <pt idx="39">
                  <formatCode>0.0%</formatCode>
                  <v>-0.0055</v>
                </pt>
                <pt idx="40">
                  <formatCode>0.0%</formatCode>
                  <v>0.0011</v>
                </pt>
                <pt idx="41">
                  <formatCode>0.0%</formatCode>
                  <v>-0.0049</v>
                </pt>
                <pt idx="42">
                  <formatCode>0.0%</formatCode>
                  <v>0.0047</v>
                </pt>
                <pt idx="43">
                  <formatCode>0.0%</formatCode>
                  <v>-0.0038</v>
                </pt>
                <pt idx="44">
                  <formatCode>0.0%</formatCode>
                  <v>-0.0051</v>
                </pt>
                <pt idx="45">
                  <formatCode>0.0%</formatCode>
                  <v>0.0012</v>
                </pt>
                <pt idx="46">
                  <formatCode>0.0%</formatCode>
                  <v>0.006</v>
                </pt>
                <pt idx="47">
                  <formatCode>0.0%</formatCode>
                  <v>-0.0002</v>
                </pt>
                <pt idx="48">
                  <formatCode>0.0%</formatCode>
                  <v>0.0014</v>
                </pt>
                <pt idx="49">
                  <formatCode>0.0%</formatCode>
                  <v>-0.0009</v>
                </pt>
                <pt idx="50">
                  <formatCode>0.0%</formatCode>
                  <v>0.0028</v>
                </pt>
                <pt idx="51">
                  <formatCode>0.0%</formatCode>
                  <v>0.0002</v>
                </pt>
                <pt idx="52">
                  <formatCode>0.0%</formatCode>
                  <v>0.0005</v>
                </pt>
                <pt idx="53">
                  <formatCode>0.0%</formatCode>
                  <v>0.0027</v>
                </pt>
                <pt idx="54">
                  <formatCode>0.0%</formatCode>
                  <v>0.0012</v>
                </pt>
                <pt idx="55">
                  <formatCode>0.0%</formatCode>
                  <v>-0.0014</v>
                </pt>
                <pt idx="56">
                  <formatCode>0.0%</formatCode>
                  <v>-0.0009</v>
                </pt>
                <pt idx="57">
                  <formatCode>0.0%</formatCode>
                  <v>-0.0011</v>
                </pt>
                <pt idx="58">
                  <formatCode>0.0%</formatCode>
                  <v>0.0044</v>
                </pt>
                <pt idx="59">
                  <formatCode>0.0%</formatCode>
                  <v>0.0024</v>
                </pt>
                <pt idx="60">
                  <formatCode>0.0%</formatCode>
                  <v>0.0022</v>
                </pt>
                <pt idx="61">
                  <formatCode>0.0%</formatCode>
                  <v>0.0037</v>
                </pt>
                <pt idx="62">
                  <formatCode>0.0%</formatCode>
                  <v>0.0032</v>
                </pt>
                <pt idx="63">
                  <formatCode>0.0%</formatCode>
                  <v>-0.0053</v>
                </pt>
                <pt idx="64">
                  <formatCode>0.0%</formatCode>
                  <v>0.002</v>
                </pt>
                <pt idx="65">
                  <formatCode>0.0%</formatCode>
                  <v>-0.0001</v>
                </pt>
                <pt idx="66">
                  <formatCode>0.0%</formatCode>
                  <v>0.0032</v>
                </pt>
                <pt idx="67">
                  <formatCode>0.0%</formatCode>
                  <v>-0.0008</v>
                </pt>
                <pt idx="68">
                  <formatCode>0.0%</formatCode>
                  <v>-0.0004</v>
                </pt>
                <pt idx="69">
                  <formatCode>0.0%</formatCode>
                  <v>-0.002</v>
                </pt>
                <pt idx="70">
                  <formatCode>0.0%</formatCode>
                  <v>0.001</v>
                </pt>
                <pt idx="71">
                  <formatCode>0.0%</formatCode>
                  <v>-0.0014</v>
                </pt>
                <pt idx="72">
                  <formatCode>0.0%</formatCode>
                  <v>0.0014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15193840"/>
        <axId val="415194320"/>
      </barChart>
      <catAx>
        <axId val="41519384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15194320"/>
        <crosses val="autoZero"/>
        <auto val="1"/>
        <lblAlgn val="ctr"/>
        <lblOffset val="100"/>
        <noMultiLvlLbl val="0"/>
      </catAx>
      <valAx>
        <axId val="4151943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151938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GAM!$AG$3:$AG$76</f>
              <numCache>
                <formatCode>0.0%</formatCode>
                <ptCount val="74"/>
                <pt idx="24">
                  <v>0</v>
                </pt>
                <pt idx="25">
                  <v>0.0008</v>
                </pt>
                <pt idx="26">
                  <v>0.0016</v>
                </pt>
                <pt idx="27">
                  <v>0.0027</v>
                </pt>
                <pt idx="28">
                  <v>0.0004</v>
                </pt>
                <pt idx="29">
                  <v>0.0013</v>
                </pt>
                <pt idx="30">
                  <v>0.0015</v>
                </pt>
                <pt idx="31">
                  <v>0.0017</v>
                </pt>
                <pt idx="32">
                  <v>-0.0037</v>
                </pt>
                <pt idx="33">
                  <v>0.0051</v>
                </pt>
                <pt idx="34">
                  <v>-0.0005999999999999999</v>
                </pt>
                <pt idx="35">
                  <v>0.0033</v>
                </pt>
                <pt idx="36">
                  <v>-0.003</v>
                </pt>
                <pt idx="37">
                  <v>-0.0015</v>
                </pt>
                <pt idx="38">
                  <v>0.0019</v>
                </pt>
                <pt idx="39">
                  <v>-0.0055</v>
                </pt>
                <pt idx="40">
                  <v>0.0001</v>
                </pt>
                <pt idx="41">
                  <v>-0.0046</v>
                </pt>
                <pt idx="42">
                  <v>0.0049</v>
                </pt>
                <pt idx="43">
                  <v>-0.0024</v>
                </pt>
                <pt idx="44">
                  <v>-0.0038</v>
                </pt>
                <pt idx="45">
                  <v>0.0036</v>
                </pt>
                <pt idx="46">
                  <v>0.0023</v>
                </pt>
                <pt idx="47">
                  <v>-0.001</v>
                </pt>
                <pt idx="48">
                  <v>0.001</v>
                </pt>
                <pt idx="49">
                  <v>-0.0005</v>
                </pt>
                <pt idx="50">
                  <v>0.0019</v>
                </pt>
                <pt idx="51">
                  <v>0.0009</v>
                </pt>
                <pt idx="52">
                  <v>0.0002</v>
                </pt>
                <pt idx="53">
                  <v>0.0025</v>
                </pt>
                <pt idx="54">
                  <v>0.002</v>
                </pt>
                <pt idx="55">
                  <v>-0.0011</v>
                </pt>
                <pt idx="56">
                  <v>-0.0031</v>
                </pt>
                <pt idx="57">
                  <v>-0.0013</v>
                </pt>
                <pt idx="58">
                  <v>0.0077</v>
                </pt>
                <pt idx="59">
                  <v>0.003</v>
                </pt>
                <pt idx="60">
                  <v>0.0013</v>
                </pt>
                <pt idx="61">
                  <v>0.0055</v>
                </pt>
                <pt idx="62">
                  <v>0.0038</v>
                </pt>
                <pt idx="63">
                  <v>-0.0039</v>
                </pt>
                <pt idx="64">
                  <v>0.0041</v>
                </pt>
                <pt idx="65">
                  <v>0.0031</v>
                </pt>
                <pt idx="66">
                  <v>0.0013</v>
                </pt>
                <pt idx="67">
                  <v>0.0011</v>
                </pt>
                <pt idx="68">
                  <v>0.0007</v>
                </pt>
                <pt idx="69">
                  <v>-0.0005</v>
                </pt>
                <pt idx="70">
                  <v>0.0037</v>
                </pt>
                <pt idx="71">
                  <v>-0.0029</v>
                </pt>
                <pt idx="72">
                  <v>0.0029</v>
                </pt>
                <pt idx="73">
                  <v>-0.0013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584566431"/>
        <axId val="1584567871"/>
      </barChart>
      <catAx>
        <axId val="1584566431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84567871"/>
        <crosses val="autoZero"/>
        <auto val="1"/>
        <lblAlgn val="ctr"/>
        <lblOffset val="100"/>
        <noMultiLvlLbl val="0"/>
      </catAx>
      <valAx>
        <axId val="15845678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84566431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619125</colOff>
      <row>20</row>
      <rowOff>171450</rowOff>
    </from>
    <to>
      <col>55</col>
      <colOff>381000</colOff>
      <row>37</row>
      <rowOff>85725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42</col>
      <colOff>242887</colOff>
      <row>14</row>
      <rowOff>147637</rowOff>
    </from>
    <to>
      <col>48</col>
      <colOff>352425</colOff>
      <row>31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42</col>
      <colOff>200025</colOff>
      <row>31</row>
      <rowOff>14287</rowOff>
    </from>
    <to>
      <col>47</col>
      <colOff>990600</colOff>
      <row>45</row>
      <rowOff>90487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2"/>
  <sheetViews>
    <sheetView tabSelected="1" workbookViewId="0">
      <selection activeCell="G5" sqref="G5"/>
    </sheetView>
  </sheetViews>
  <sheetFormatPr baseColWidth="10" defaultColWidth="8.83203125" defaultRowHeight="15"/>
  <cols>
    <col width="11.6640625" customWidth="1" min="1" max="1"/>
    <col width="19.5" bestFit="1" customWidth="1" min="2" max="2"/>
    <col width="18" bestFit="1" customWidth="1" min="3" max="3"/>
    <col width="15.83203125" customWidth="1" min="42" max="42"/>
    <col width="14.1640625" customWidth="1" min="43" max="43"/>
    <col width="15.1640625" bestFit="1" customWidth="1" min="47" max="47"/>
    <col width="18.5" bestFit="1" customWidth="1" min="48" max="48"/>
    <col width="13.33203125" bestFit="1" customWidth="1" min="49" max="49"/>
    <col width="14" bestFit="1" customWidth="1" min="50" max="50"/>
  </cols>
  <sheetData>
    <row r="1">
      <c r="B1" s="2" t="inlineStr">
        <is>
          <t xml:space="preserve">Return </t>
        </is>
      </c>
      <c r="D1" s="2" t="inlineStr">
        <is>
          <t xml:space="preserve">Fee </t>
        </is>
      </c>
      <c r="E1" s="9" t="n">
        <v>0.005</v>
      </c>
      <c r="F1" s="5" t="n"/>
      <c r="J1" s="2" t="inlineStr">
        <is>
          <t xml:space="preserve">Holding Summary </t>
        </is>
      </c>
      <c r="X1" s="2" t="inlineStr">
        <is>
          <t xml:space="preserve">Attribution </t>
        </is>
      </c>
      <c r="AL1" s="6" t="inlineStr">
        <is>
          <t xml:space="preserve">Check </t>
        </is>
      </c>
      <c r="AM1" s="6" t="inlineStr">
        <is>
          <t xml:space="preserve">Check </t>
        </is>
      </c>
      <c r="AQ1" s="2" t="inlineStr">
        <is>
          <t>Calculations</t>
        </is>
      </c>
    </row>
    <row r="2" ht="49.5" customHeight="1">
      <c r="A2" t="inlineStr">
        <is>
          <t>Date</t>
        </is>
      </c>
      <c r="B2" s="1" t="inlineStr">
        <is>
          <t>GB Returns (Gross)</t>
        </is>
      </c>
      <c r="C2" s="1" t="inlineStr">
        <is>
          <t>GB Returns (Net)</t>
        </is>
      </c>
      <c r="D2" s="1" t="inlineStr">
        <is>
          <t>ACWI</t>
        </is>
      </c>
      <c r="E2" s="1" t="inlineStr">
        <is>
          <t>AGG</t>
        </is>
      </c>
      <c r="F2" s="1" t="inlineStr">
        <is>
          <t>SPY</t>
        </is>
      </c>
      <c r="G2" s="1" t="inlineStr">
        <is>
          <t>50/50</t>
        </is>
      </c>
      <c r="H2" s="1" t="inlineStr">
        <is>
          <t>60/40</t>
        </is>
      </c>
      <c r="I2" s="1" t="inlineStr">
        <is>
          <t>70/30</t>
        </is>
      </c>
      <c r="J2" s="14" t="inlineStr">
        <is>
          <t>PDBC</t>
        </is>
      </c>
      <c r="K2" s="14" t="inlineStr">
        <is>
          <t>VWO</t>
        </is>
      </c>
      <c r="L2" s="14" t="inlineStr">
        <is>
          <t>IEV</t>
        </is>
      </c>
      <c r="M2" s="14" t="inlineStr">
        <is>
          <t>BWX</t>
        </is>
      </c>
      <c r="N2" s="14" t="inlineStr">
        <is>
          <t>IAU</t>
        </is>
      </c>
      <c r="O2" s="14" t="inlineStr">
        <is>
          <t>VEA</t>
        </is>
      </c>
      <c r="P2" s="14" t="inlineStr">
        <is>
          <t>RWX</t>
        </is>
      </c>
      <c r="Q2" s="14" t="inlineStr">
        <is>
          <t>EWJ</t>
        </is>
      </c>
      <c r="R2" s="14" t="inlineStr">
        <is>
          <t>BIV</t>
        </is>
      </c>
      <c r="S2" s="14" t="inlineStr">
        <is>
          <t>SPY</t>
        </is>
      </c>
      <c r="T2" s="14" t="inlineStr">
        <is>
          <t>TIP</t>
        </is>
      </c>
      <c r="U2" s="14" t="inlineStr">
        <is>
          <t>BND</t>
        </is>
      </c>
      <c r="V2" s="14" t="inlineStr">
        <is>
          <t>SPTL</t>
        </is>
      </c>
      <c r="W2" s="14" t="inlineStr">
        <is>
          <t>VNQ</t>
        </is>
      </c>
      <c r="X2" s="13" t="inlineStr">
        <is>
          <t>PDBC</t>
        </is>
      </c>
      <c r="Y2" s="13" t="inlineStr">
        <is>
          <t>VWO</t>
        </is>
      </c>
      <c r="Z2" s="13" t="inlineStr">
        <is>
          <t>IEV</t>
        </is>
      </c>
      <c r="AA2" s="13" t="inlineStr">
        <is>
          <t>BWX</t>
        </is>
      </c>
      <c r="AB2" s="13" t="inlineStr">
        <is>
          <t>IAU</t>
        </is>
      </c>
      <c r="AC2" s="13" t="inlineStr">
        <is>
          <t>VEA</t>
        </is>
      </c>
      <c r="AD2" s="13" t="inlineStr">
        <is>
          <t>RWX</t>
        </is>
      </c>
      <c r="AE2" s="13" t="inlineStr">
        <is>
          <t>EWJ</t>
        </is>
      </c>
      <c r="AF2" s="13" t="inlineStr">
        <is>
          <t>BIV</t>
        </is>
      </c>
      <c r="AG2" s="13" t="inlineStr">
        <is>
          <t>SPY</t>
        </is>
      </c>
      <c r="AH2" s="13" t="inlineStr">
        <is>
          <t>TIP</t>
        </is>
      </c>
      <c r="AI2" s="13" t="inlineStr">
        <is>
          <t>BND</t>
        </is>
      </c>
      <c r="AJ2" s="13" t="inlineStr">
        <is>
          <t>SPTL</t>
        </is>
      </c>
      <c r="AK2" s="13" t="inlineStr">
        <is>
          <t>VNQ</t>
        </is>
      </c>
      <c r="AL2" s="13" t="inlineStr">
        <is>
          <t>Total Attr</t>
        </is>
      </c>
      <c r="AM2" s="13" t="inlineStr">
        <is>
          <t xml:space="preserve">Check </t>
        </is>
      </c>
      <c r="AP2" s="8" t="n"/>
      <c r="AQ2" s="8" t="inlineStr">
        <is>
          <t xml:space="preserve">Year To Date </t>
        </is>
      </c>
      <c r="AR2" s="8" t="inlineStr">
        <is>
          <t xml:space="preserve">1-Year </t>
        </is>
      </c>
      <c r="AS2" s="8" t="inlineStr">
        <is>
          <t>3-Year</t>
        </is>
      </c>
      <c r="AT2" s="8" t="inlineStr">
        <is>
          <t>5-Year</t>
        </is>
      </c>
      <c r="AU2" s="8" t="inlineStr">
        <is>
          <t xml:space="preserve">Since Inception </t>
        </is>
      </c>
      <c r="AV2" s="8" t="inlineStr">
        <is>
          <t xml:space="preserve">Standard Deviation </t>
        </is>
      </c>
      <c r="AW2" s="8" t="inlineStr">
        <is>
          <t>Sharpe (RF=0)</t>
        </is>
      </c>
      <c r="AX2" s="8" t="inlineStr">
        <is>
          <t>Beta (S&amp;P 500)</t>
        </is>
      </c>
    </row>
    <row r="3">
      <c r="A3" s="16" t="n">
        <v>43496</v>
      </c>
      <c r="B3" s="15" t="n">
        <v>0.03772641102</v>
      </c>
      <c r="C3" s="11">
        <f>+B3-$E$1/12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4" t="n"/>
      <c r="AP3" t="inlineStr">
        <is>
          <t>GAM (Net)</t>
        </is>
      </c>
      <c r="AV3" s="7">
        <f>_xlfn.STDEV.P(C3:C75)*SQRT(12)</f>
        <v/>
      </c>
    </row>
    <row r="4">
      <c r="A4" s="16" t="n">
        <v>43524</v>
      </c>
      <c r="B4" s="15" t="n">
        <v>0.005656882960000001</v>
      </c>
      <c r="C4" s="11">
        <f>+B4-$E$1/12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4" t="n"/>
      <c r="AP4" t="inlineStr">
        <is>
          <t>60/40</t>
        </is>
      </c>
    </row>
    <row r="5">
      <c r="A5" s="16" t="n">
        <v>43555</v>
      </c>
      <c r="B5" s="15" t="n">
        <v>0.00283390191</v>
      </c>
      <c r="C5" s="11">
        <f>+B5-$E$1/12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4" t="n"/>
      <c r="AP5" t="inlineStr">
        <is>
          <t>70/30</t>
        </is>
      </c>
    </row>
    <row r="6">
      <c r="A6" s="16" t="n">
        <v>43585</v>
      </c>
      <c r="B6" s="15" t="n">
        <v>0.02074426019</v>
      </c>
      <c r="C6" s="11">
        <f>+B6-$E$1/12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4" t="n"/>
    </row>
    <row r="7">
      <c r="A7" s="16" t="n">
        <v>43616</v>
      </c>
      <c r="B7" s="15" t="n">
        <v>-0.03674953439</v>
      </c>
      <c r="C7" s="11">
        <f>+B7-$E$1/12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4" t="n"/>
    </row>
    <row r="8">
      <c r="A8" s="16" t="n">
        <v>43646</v>
      </c>
      <c r="B8" s="15" t="n">
        <v>0.04298068702</v>
      </c>
      <c r="C8" s="11">
        <f>+B8-$E$1/12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4" t="n"/>
    </row>
    <row r="9">
      <c r="A9" s="16" t="n">
        <v>43677</v>
      </c>
      <c r="B9" s="15" t="n">
        <v>-0.00695921562</v>
      </c>
      <c r="C9" s="11">
        <f>+B9-$E$1/12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4" t="n"/>
    </row>
    <row r="10">
      <c r="A10" s="16" t="n">
        <v>43708</v>
      </c>
      <c r="B10" s="15" t="n">
        <v>-0.00593232765</v>
      </c>
      <c r="C10" s="11">
        <f>+B10-$E$1/12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4" t="n"/>
    </row>
    <row r="11">
      <c r="A11" s="16" t="n">
        <v>43738</v>
      </c>
      <c r="B11" s="15" t="n">
        <v>0.007828402280000001</v>
      </c>
      <c r="C11" s="11">
        <f>+B11-$E$1/12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4" t="n"/>
    </row>
    <row r="12">
      <c r="A12" s="16" t="n">
        <v>43769</v>
      </c>
      <c r="B12" s="15" t="n">
        <v>0.01875376794</v>
      </c>
      <c r="C12" s="11">
        <f>+B12-$E$1/12</f>
        <v/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4" t="n"/>
    </row>
    <row r="13">
      <c r="A13" s="16" t="n">
        <v>43799</v>
      </c>
      <c r="B13" s="15" t="n">
        <v>-0.00638585907</v>
      </c>
      <c r="C13" s="11">
        <f>+B13-$E$1/12</f>
        <v/>
      </c>
      <c r="J13" s="3" t="n">
        <v>0.0544307425798338</v>
      </c>
      <c r="K13" s="3" t="n">
        <v>0.0216631249075839</v>
      </c>
      <c r="L13" s="3" t="n">
        <v>0.0643208901110536</v>
      </c>
      <c r="M13" s="3" t="n">
        <v>0.0362191160627149</v>
      </c>
      <c r="N13" s="3" t="n">
        <v>0.0968608721302901</v>
      </c>
      <c r="O13" s="3" t="n">
        <v>0.183525466200488</v>
      </c>
      <c r="P13" s="3" t="n">
        <v>0.0320624886511596</v>
      </c>
      <c r="Q13" s="3" t="n">
        <v>0.0726994864268397</v>
      </c>
      <c r="R13" s="3" t="n">
        <v>0.0403764564182151</v>
      </c>
      <c r="S13" s="3" t="n">
        <v>0.0606011510158715</v>
      </c>
      <c r="T13" s="3" t="n">
        <v>0.0361872521307662</v>
      </c>
      <c r="U13" s="3" t="n">
        <v>0.1584538629904</v>
      </c>
      <c r="V13" s="3" t="n">
        <v>0.0750883300940034</v>
      </c>
      <c r="W13" s="3" t="n">
        <v>0.06751076028077869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4" t="n"/>
    </row>
    <row r="14">
      <c r="A14" s="16" t="n">
        <v>43830</v>
      </c>
      <c r="B14" s="15" t="n">
        <v>0.01449039095</v>
      </c>
      <c r="C14" s="11">
        <f>+B14-$E$1/12</f>
        <v/>
      </c>
      <c r="J14" s="3" t="n">
        <v>0.0510735819577931</v>
      </c>
      <c r="K14" s="3" t="n">
        <v>0.0374149699997009</v>
      </c>
      <c r="L14" s="3" t="n">
        <v>0.0803364047838916</v>
      </c>
      <c r="M14" s="3" t="n">
        <v>0.0316284858484631</v>
      </c>
      <c r="N14" s="3" t="n">
        <v>0.113939802144544</v>
      </c>
      <c r="O14" s="3" t="n">
        <v>0.06788500734047009</v>
      </c>
      <c r="P14" s="3" t="n">
        <v>0.0531113446899909</v>
      </c>
      <c r="Q14" s="3" t="n">
        <v>0.1194591321317</v>
      </c>
      <c r="R14" s="3" t="n">
        <v>0.0340483683787117</v>
      </c>
      <c r="S14" s="3" t="n">
        <v>0.0904117792443814</v>
      </c>
      <c r="T14" s="3" t="n">
        <v>0.0317076981413614</v>
      </c>
      <c r="U14" s="3" t="n">
        <v>0.147964218523228</v>
      </c>
      <c r="V14" s="3" t="n">
        <v>0.0595753419976108</v>
      </c>
      <c r="W14" s="3" t="n">
        <v>0.0814438648181513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4" t="n"/>
    </row>
    <row r="15">
      <c r="A15" s="16" t="n">
        <v>43861</v>
      </c>
      <c r="B15" s="15" t="n">
        <v>0.005936595770000001</v>
      </c>
      <c r="C15" s="11">
        <f>+B15-$E$1/12</f>
        <v/>
      </c>
      <c r="J15" s="3" t="n">
        <v>0.0647760937396499</v>
      </c>
      <c r="K15" s="3" t="n">
        <v>0.0341800312467985</v>
      </c>
      <c r="L15" s="3" t="n">
        <v>0.0683580080918734</v>
      </c>
      <c r="M15" s="3" t="n">
        <v>0.0396230060466513</v>
      </c>
      <c r="N15" s="3" t="n">
        <v>0.136111153571038</v>
      </c>
      <c r="O15" s="3" t="n">
        <v>0.07973319397442501</v>
      </c>
      <c r="P15" s="3" t="n">
        <v>0.0430475210222651</v>
      </c>
      <c r="Q15" s="3" t="n">
        <v>0.0933721277138896</v>
      </c>
      <c r="R15" s="3" t="n">
        <v>0.0388828840871926</v>
      </c>
      <c r="S15" s="3" t="n">
        <v>0.0795284364501429</v>
      </c>
      <c r="T15" s="3" t="n">
        <v>0.0398479292391716</v>
      </c>
      <c r="U15" s="3" t="n">
        <v>0.148337289337447</v>
      </c>
      <c r="V15" s="3" t="n">
        <v>0.0570810488771849</v>
      </c>
      <c r="W15" s="3" t="n">
        <v>0.07712127660226931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4" t="n"/>
    </row>
    <row r="16">
      <c r="A16" s="16" t="n">
        <v>43890</v>
      </c>
      <c r="B16" s="15" t="n">
        <v>-0.02562829271</v>
      </c>
      <c r="C16" s="11">
        <f>+B16-$E$1/12</f>
        <v/>
      </c>
      <c r="J16" s="3" t="n">
        <v>0.0561486434647755</v>
      </c>
      <c r="K16" s="3" t="n">
        <v>0.0211320737115095</v>
      </c>
      <c r="L16" s="3" t="n">
        <v>0.07359582646907779</v>
      </c>
      <c r="M16" s="3" t="n">
        <v>0.0441444537969482</v>
      </c>
      <c r="N16" s="3" t="n">
        <v>0.132156684300214</v>
      </c>
      <c r="O16" s="3" t="n">
        <v>0.06704357674088809</v>
      </c>
      <c r="P16" s="3" t="n">
        <v>0.0384790298705655</v>
      </c>
      <c r="Q16" s="3" t="n">
        <v>0.0919115646579806</v>
      </c>
      <c r="R16" s="3" t="n">
        <v>0.0422101380280686</v>
      </c>
      <c r="S16" s="3" t="n">
        <v>0.0840904470862171</v>
      </c>
      <c r="T16" s="3" t="n">
        <v>0.0451596068102663</v>
      </c>
      <c r="U16" s="3" t="n">
        <v>0.171720673453225</v>
      </c>
      <c r="V16" s="3" t="n">
        <v>0.0608741302783492</v>
      </c>
      <c r="W16" s="3" t="n">
        <v>0.07133315133191299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4" t="n"/>
    </row>
    <row r="17">
      <c r="A17" s="16" t="n">
        <v>43921</v>
      </c>
      <c r="B17" s="15" t="n">
        <v>-0.03190216145</v>
      </c>
      <c r="C17" s="11">
        <f>+B17-$E$1/12</f>
        <v/>
      </c>
      <c r="J17" s="3" t="n">
        <v>0.0415889445928997</v>
      </c>
      <c r="K17" s="3" t="n">
        <v>0.0102559968220359</v>
      </c>
      <c r="L17" s="3" t="n">
        <v>0.0412196018194958</v>
      </c>
      <c r="M17" s="3" t="n">
        <v>0.0751604084401179</v>
      </c>
      <c r="N17" s="3" t="n">
        <v>0.0977689693302983</v>
      </c>
      <c r="O17" s="3" t="n">
        <v>0.162720332217548</v>
      </c>
      <c r="P17" s="3" t="n">
        <v>0.0128105160690002</v>
      </c>
      <c r="Q17" s="3" t="n">
        <v>0.0466738763785321</v>
      </c>
      <c r="R17" s="3" t="n">
        <v>0.0851934108875427</v>
      </c>
      <c r="S17" s="3" t="n">
        <v>0.0355524575405164</v>
      </c>
      <c r="T17" s="3" t="n">
        <v>0.0735337410782871</v>
      </c>
      <c r="U17" s="3" t="n">
        <v>0.188971698716538</v>
      </c>
      <c r="V17" s="3" t="n">
        <v>0.0947776961786143</v>
      </c>
      <c r="W17" s="3" t="n">
        <v>0.033772349928572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4" t="n"/>
    </row>
    <row r="18">
      <c r="A18" s="16" t="n">
        <v>43951</v>
      </c>
      <c r="B18" s="15" t="n">
        <v>0.0126487947</v>
      </c>
      <c r="C18" s="11">
        <f>+B18-$E$1/12</f>
        <v/>
      </c>
      <c r="J18" s="3" t="n">
        <v>0.09571310124301689</v>
      </c>
      <c r="K18" s="3" t="n">
        <v>0.00675110866809214</v>
      </c>
      <c r="L18" s="3" t="n">
        <v>0.0143277436232855</v>
      </c>
      <c r="M18" s="3" t="n">
        <v>0.107643960341444</v>
      </c>
      <c r="N18" s="3" t="n">
        <v>0.233144564455734</v>
      </c>
      <c r="O18" s="3" t="n">
        <v>0.0619816330910173</v>
      </c>
      <c r="P18" s="3" t="n">
        <v>0.00781065227559278</v>
      </c>
      <c r="Q18" s="3" t="n">
        <v>0.0214177501476117</v>
      </c>
      <c r="R18" s="3" t="n">
        <v>0.186679257832655</v>
      </c>
      <c r="S18" s="3" t="n">
        <v>0.0156918875198725</v>
      </c>
      <c r="T18" s="3" t="n">
        <v>0.118941504414084</v>
      </c>
      <c r="U18" s="3" t="n">
        <v>0.0250846040513447</v>
      </c>
      <c r="V18" s="3" t="n">
        <v>0.0919385775971845</v>
      </c>
      <c r="W18" s="3" t="n">
        <v>0.0128736547390626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4" t="n"/>
    </row>
    <row r="19">
      <c r="A19" s="16" t="n">
        <v>43982</v>
      </c>
      <c r="B19" s="15" t="n">
        <v>0.01933561867</v>
      </c>
      <c r="C19" s="11">
        <f>+B19-$E$1/12</f>
        <v/>
      </c>
      <c r="J19" s="3" t="n">
        <v>0.0889462782577685</v>
      </c>
      <c r="K19" s="3" t="n">
        <v>0.00618402575105551</v>
      </c>
      <c r="L19" s="3" t="n">
        <v>0.0133325678605508</v>
      </c>
      <c r="M19" s="3" t="n">
        <v>0.112481033507529</v>
      </c>
      <c r="N19" s="3" t="n">
        <v>0.226574328036701</v>
      </c>
      <c r="O19" s="3" t="n">
        <v>0.0607483445688653</v>
      </c>
      <c r="P19" s="3" t="n">
        <v>0.00703595769874648</v>
      </c>
      <c r="Q19" s="3" t="n">
        <v>0.0189193433728009</v>
      </c>
      <c r="R19" s="3" t="n">
        <v>0.199833863662825</v>
      </c>
      <c r="S19" s="3" t="n">
        <v>0.014244586892698</v>
      </c>
      <c r="T19" s="3" t="n">
        <v>0.120779778388481</v>
      </c>
      <c r="U19" s="3" t="n">
        <v>0.0248229671515506</v>
      </c>
      <c r="V19" s="3" t="n">
        <v>0.09458883441189631</v>
      </c>
      <c r="W19" s="3" t="n">
        <v>0.0115080904385292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4" t="n"/>
    </row>
    <row r="20">
      <c r="A20" s="16" t="n">
        <v>44012</v>
      </c>
      <c r="B20" s="15" t="n">
        <v>0.01418149664</v>
      </c>
      <c r="C20" s="11">
        <f>+B20-$E$1/12</f>
        <v/>
      </c>
      <c r="J20" s="3" t="n">
        <v>0.0839917132936932</v>
      </c>
      <c r="K20" s="3" t="n">
        <v>0.00617702607560081</v>
      </c>
      <c r="L20" s="3" t="n">
        <v>0.0133593802916663</v>
      </c>
      <c r="M20" s="3" t="n">
        <v>0.108983833187895</v>
      </c>
      <c r="N20" s="3" t="n">
        <v>0.23277198713089</v>
      </c>
      <c r="O20" s="3" t="n">
        <v>0.0602429925336421</v>
      </c>
      <c r="P20" s="3" t="n">
        <v>0.00699136617157554</v>
      </c>
      <c r="Q20" s="3" t="n">
        <v>0.0189680676598216</v>
      </c>
      <c r="R20" s="3" t="n">
        <v>0.202123409236853</v>
      </c>
      <c r="S20" s="3" t="n">
        <v>0.0144602888707553</v>
      </c>
      <c r="T20" s="3" t="n">
        <v>0.121204801577577</v>
      </c>
      <c r="U20" s="3" t="n">
        <v>0.025152456559698</v>
      </c>
      <c r="V20" s="3" t="n">
        <v>0.0940967302006166</v>
      </c>
      <c r="W20" s="3" t="n">
        <v>0.0114759472097132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4" t="n"/>
    </row>
    <row r="21">
      <c r="A21" s="16" t="n">
        <v>44043</v>
      </c>
      <c r="B21" s="15" t="n">
        <v>0.03064616014</v>
      </c>
      <c r="C21" s="11">
        <f>+B21-$E$1/12</f>
        <v/>
      </c>
      <c r="J21" s="3" t="n">
        <v>0.0507365740586861</v>
      </c>
      <c r="K21" s="3" t="n">
        <v>0.00339538614978222</v>
      </c>
      <c r="L21" s="3" t="n">
        <v>0.0106085942519218</v>
      </c>
      <c r="M21" s="3" t="n">
        <v>0.141486538577534</v>
      </c>
      <c r="N21" s="3" t="n">
        <v>0.155169489777778</v>
      </c>
      <c r="O21" s="3" t="n">
        <v>0.0646891099605858</v>
      </c>
      <c r="P21" s="3" t="n">
        <v>0.00368703046606744</v>
      </c>
      <c r="Q21" s="3" t="n">
        <v>0.0111907884638304</v>
      </c>
      <c r="R21" s="3" t="n">
        <v>0.252164918255994</v>
      </c>
      <c r="S21" s="3" t="n">
        <v>0.009950443732661461</v>
      </c>
      <c r="T21" s="3" t="n">
        <v>0.135078985528586</v>
      </c>
      <c r="U21" s="3" t="n">
        <v>0.0438873684934397</v>
      </c>
      <c r="V21" s="3" t="n">
        <v>0.110569836341271</v>
      </c>
      <c r="W21" s="3" t="n">
        <v>0.00738493594186054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4" t="n"/>
    </row>
    <row r="22">
      <c r="A22" s="16" t="n">
        <v>44074</v>
      </c>
      <c r="B22" s="15" t="n">
        <v>-0.00298519245</v>
      </c>
      <c r="C22" s="11">
        <f>+B22-$E$1/12</f>
        <v/>
      </c>
      <c r="J22" s="3" t="n">
        <v>0.0454942339486517</v>
      </c>
      <c r="K22" s="3" t="n">
        <v>0.00269993494943578</v>
      </c>
      <c r="L22" s="3" t="n">
        <v>0.0105127711109371</v>
      </c>
      <c r="M22" s="3" t="n">
        <v>0.105410448908868</v>
      </c>
      <c r="N22" s="3" t="n">
        <v>0.142874449689382</v>
      </c>
      <c r="O22" s="3" t="n">
        <v>0.08363974566153511</v>
      </c>
      <c r="P22" s="3" t="n">
        <v>0.00279068959289465</v>
      </c>
      <c r="Q22" s="3" t="n">
        <v>0.0126968941209784</v>
      </c>
      <c r="R22" s="3" t="n">
        <v>0.231853949378323</v>
      </c>
      <c r="S22" s="3" t="n">
        <v>0.0120377001435655</v>
      </c>
      <c r="T22" s="3" t="n">
        <v>0.186638721677465</v>
      </c>
      <c r="U22" s="3" t="n">
        <v>0.0460111149089688</v>
      </c>
      <c r="V22" s="3" t="n">
        <v>0.108525458446221</v>
      </c>
      <c r="W22" s="3" t="n">
        <v>0.008813887462772429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4" t="n"/>
    </row>
    <row r="23">
      <c r="A23" s="16" t="n">
        <v>44104</v>
      </c>
      <c r="B23" s="15" t="n">
        <v>-0.006132946889999999</v>
      </c>
      <c r="C23" s="11">
        <f>+B23-$E$1/12</f>
        <v/>
      </c>
      <c r="J23" s="3" t="n">
        <v>0.0534198527577702</v>
      </c>
      <c r="K23" s="3" t="n">
        <v>0.00350065640291533</v>
      </c>
      <c r="L23" s="3" t="n">
        <v>0.0140099901585954</v>
      </c>
      <c r="M23" s="3" t="n">
        <v>0.0919954836765999</v>
      </c>
      <c r="N23" s="3" t="n">
        <v>0.09272598385691069</v>
      </c>
      <c r="O23" s="3" t="n">
        <v>0.0827892303530086</v>
      </c>
      <c r="P23" s="3" t="n">
        <v>0.00358961878071422</v>
      </c>
      <c r="Q23" s="3" t="n">
        <v>0.0181967658865994</v>
      </c>
      <c r="R23" s="3" t="n">
        <v>0.23395968318063</v>
      </c>
      <c r="S23" s="3" t="n">
        <v>0.0166274210500319</v>
      </c>
      <c r="T23" s="3" t="n">
        <v>0.204378641302355</v>
      </c>
      <c r="U23" s="3" t="n">
        <v>0.052858829705793</v>
      </c>
      <c r="V23" s="3" t="n">
        <v>0.119469999079276</v>
      </c>
      <c r="W23" s="3" t="n">
        <v>0.0124778438087986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4" t="n"/>
    </row>
    <row r="24">
      <c r="A24" s="16" t="n">
        <v>44135</v>
      </c>
      <c r="B24" s="15" t="n">
        <v>-0.01503651768</v>
      </c>
      <c r="C24" s="11">
        <f>+B24-$E$1/12</f>
        <v/>
      </c>
      <c r="J24" s="3" t="n">
        <v>0.0485351951016281</v>
      </c>
      <c r="K24" s="3" t="n">
        <v>0.00558653928927246</v>
      </c>
      <c r="L24" s="3" t="n">
        <v>0.0137704380376353</v>
      </c>
      <c r="M24" s="3" t="n">
        <v>0.0810657141591587</v>
      </c>
      <c r="N24" s="3" t="n">
        <v>0.0829707658900983</v>
      </c>
      <c r="O24" s="3" t="n">
        <v>0.0898913583896634</v>
      </c>
      <c r="P24" s="3" t="n">
        <v>0.00656308170865371</v>
      </c>
      <c r="Q24" s="3" t="n">
        <v>0.0212750112275182</v>
      </c>
      <c r="R24" s="3" t="n">
        <v>0.25226590956572</v>
      </c>
      <c r="S24" s="3" t="n">
        <v>0.0147095688901095</v>
      </c>
      <c r="T24" s="3" t="n">
        <v>0.214790099261152</v>
      </c>
      <c r="U24" s="3" t="n">
        <v>0.0621086529363725</v>
      </c>
      <c r="V24" s="3" t="n">
        <v>0.09300731699033569</v>
      </c>
      <c r="W24" s="3" t="n">
        <v>0.0134603485526801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4" t="n"/>
    </row>
    <row r="25">
      <c r="A25" s="16" t="n">
        <v>44165</v>
      </c>
      <c r="B25" s="15" t="n">
        <v>0.01461371196</v>
      </c>
      <c r="C25" s="11">
        <f>+B25-$E$1/12</f>
        <v/>
      </c>
      <c r="J25" s="3" t="n">
        <v>0.0473169360402784</v>
      </c>
      <c r="K25" s="3" t="n">
        <v>0.00598854575204447</v>
      </c>
      <c r="L25" s="3" t="n">
        <v>0.0122502718199592</v>
      </c>
      <c r="M25" s="3" t="n">
        <v>0.0915455057803707</v>
      </c>
      <c r="N25" s="3" t="n">
        <v>0.0915134238001465</v>
      </c>
      <c r="O25" s="3" t="n">
        <v>0.102995274177498</v>
      </c>
      <c r="P25" s="3" t="n">
        <v>0.00660326088600051</v>
      </c>
      <c r="Q25" s="3" t="n">
        <v>0.0214431402220771</v>
      </c>
      <c r="R25" s="3" t="n">
        <v>0.24018372098929</v>
      </c>
      <c r="S25" s="3" t="n">
        <v>0.0124134715348999</v>
      </c>
      <c r="T25" s="3" t="n">
        <v>0.208078131047283</v>
      </c>
      <c r="U25" s="3" t="n">
        <v>0.0535038874466547</v>
      </c>
      <c r="V25" s="3" t="n">
        <v>0.09289666350873339</v>
      </c>
      <c r="W25" s="3" t="n">
        <v>0.0132677669947625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4" t="n"/>
    </row>
    <row r="26">
      <c r="A26" s="16" t="n">
        <v>44196</v>
      </c>
      <c r="B26" s="15" t="n">
        <v>0.01377066173</v>
      </c>
      <c r="C26" s="11">
        <f>+B26-$E$1/12</f>
        <v/>
      </c>
      <c r="J26" s="3" t="n">
        <v>0.0513308973170755</v>
      </c>
      <c r="K26" s="3" t="n">
        <v>0.00498170447567421</v>
      </c>
      <c r="L26" s="3" t="n">
        <v>0.00908999092305939</v>
      </c>
      <c r="M26" s="3" t="n">
        <v>0.09547115385036779</v>
      </c>
      <c r="N26" s="3" t="n">
        <v>0.117087019851222</v>
      </c>
      <c r="O26" s="3" t="n">
        <v>0.108971815940852</v>
      </c>
      <c r="P26" s="3" t="n">
        <v>0.0049510437838132</v>
      </c>
      <c r="Q26" s="3" t="n">
        <v>0.0155284108545138</v>
      </c>
      <c r="R26" s="3" t="n">
        <v>0.20565611900945</v>
      </c>
      <c r="S26" s="3" t="n">
        <v>0.00912954677268998</v>
      </c>
      <c r="T26" s="3" t="n">
        <v>0.245804775729963</v>
      </c>
      <c r="U26" s="3" t="n">
        <v>0.0418154639033692</v>
      </c>
      <c r="V26" s="3" t="n">
        <v>0.080136256813573</v>
      </c>
      <c r="W26" s="3" t="n">
        <v>0.0100458007743748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4" t="n"/>
    </row>
    <row r="27">
      <c r="A27" s="16" t="n">
        <v>44227</v>
      </c>
      <c r="B27" s="15" t="n">
        <v>-0.007878318530000001</v>
      </c>
      <c r="C27" s="11">
        <f>+B27-$E$1/12</f>
        <v/>
      </c>
      <c r="J27" s="3" t="n">
        <v>0.048493303911033</v>
      </c>
      <c r="K27" s="3" t="n">
        <v>0.008585067097243101</v>
      </c>
      <c r="L27" s="3" t="n">
        <v>0.0229530768613697</v>
      </c>
      <c r="M27" s="3" t="n">
        <v>0.0601147338929103</v>
      </c>
      <c r="N27" s="3" t="n">
        <v>0.08186523819196501</v>
      </c>
      <c r="O27" s="3" t="n">
        <v>0.189596585340941</v>
      </c>
      <c r="P27" s="3" t="n">
        <v>0.008944371437835811</v>
      </c>
      <c r="Q27" s="3" t="n">
        <v>0.0356148389419025</v>
      </c>
      <c r="R27" s="3" t="n">
        <v>0.128730208357618</v>
      </c>
      <c r="S27" s="3" t="n">
        <v>0.0263758806649361</v>
      </c>
      <c r="T27" s="3" t="n">
        <v>0.155947016535933</v>
      </c>
      <c r="U27" s="3" t="n">
        <v>0.125855161650694</v>
      </c>
      <c r="V27" s="3" t="n">
        <v>0.0800369260226956</v>
      </c>
      <c r="W27" s="3" t="n">
        <v>0.0268875910929203</v>
      </c>
      <c r="X27" s="4" t="n">
        <v>0.0016</v>
      </c>
      <c r="Y27" s="4" t="n">
        <v>0.0003</v>
      </c>
      <c r="Z27" s="4" t="n">
        <v>-0.0005</v>
      </c>
      <c r="AA27" s="4" t="n">
        <v>-0.0005999999999999999</v>
      </c>
      <c r="AB27" s="4" t="n">
        <v>-0.0017</v>
      </c>
      <c r="AC27" s="4" t="n">
        <v>-0.0012</v>
      </c>
      <c r="AD27" s="4" t="n">
        <v>-0.0001</v>
      </c>
      <c r="AE27" s="4" t="n">
        <v>-0.0001</v>
      </c>
      <c r="AF27" s="4" t="n">
        <v>-0.0014</v>
      </c>
      <c r="AG27" s="4" t="n">
        <v>0</v>
      </c>
      <c r="AH27" s="4" t="n">
        <v>0.0005</v>
      </c>
      <c r="AI27" s="4" t="n">
        <v>-0.0008</v>
      </c>
      <c r="AJ27" s="4" t="n">
        <v>-0.0029</v>
      </c>
      <c r="AK27" s="4" t="n">
        <v>0.0005</v>
      </c>
      <c r="AL27" s="4">
        <f>SUM(X27:AK27)</f>
        <v/>
      </c>
      <c r="AM27" s="4">
        <f>+AL27-B27</f>
        <v/>
      </c>
    </row>
    <row r="28">
      <c r="A28" s="16" t="n">
        <v>44255</v>
      </c>
      <c r="B28" s="15" t="n">
        <v>-0.01260953854</v>
      </c>
      <c r="C28" s="11">
        <f>+B28-$E$1/12</f>
        <v/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s="3" t="n">
        <v>0.056788221819853</v>
      </c>
      <c r="K28" s="3" t="n">
        <v>0.009723648701660001</v>
      </c>
      <c r="L28" s="3" t="n">
        <v>0.0316173507390742</v>
      </c>
      <c r="M28" s="3" t="n">
        <v>0.0632691173457124</v>
      </c>
      <c r="N28" s="3" t="n">
        <v>0.07964106328402221</v>
      </c>
      <c r="O28" s="3" t="n">
        <v>0.172999644805717</v>
      </c>
      <c r="P28" s="3" t="n">
        <v>0.0114862259977374</v>
      </c>
      <c r="Q28" s="3" t="n">
        <v>0.0304120375745373</v>
      </c>
      <c r="R28" s="3" t="n">
        <v>0.120705855522269</v>
      </c>
      <c r="S28" s="3" t="n">
        <v>0.0310175398052968</v>
      </c>
      <c r="T28" s="3" t="n">
        <v>0.147588931679065</v>
      </c>
      <c r="U28" s="3" t="n">
        <v>0.135361705379052</v>
      </c>
      <c r="V28" s="3" t="n">
        <v>0.07859000982329491</v>
      </c>
      <c r="W28" s="3" t="n">
        <v>0.030798647522706</v>
      </c>
      <c r="X28" s="4" t="n">
        <v>0.0056</v>
      </c>
      <c r="Y28" s="4" t="n">
        <v>0.0001</v>
      </c>
      <c r="Z28" s="4" t="n">
        <v>0.0008</v>
      </c>
      <c r="AA28" s="4" t="n">
        <v>-0.0017</v>
      </c>
      <c r="AB28" s="4" t="n">
        <v>-0.005</v>
      </c>
      <c r="AC28" s="4" t="n">
        <v>-0.0028</v>
      </c>
      <c r="AD28" s="4" t="n">
        <v>0.0002</v>
      </c>
      <c r="AE28" s="4" t="n">
        <v>0.0005999999999999999</v>
      </c>
      <c r="AF28" s="4" t="n">
        <v>-0.0028</v>
      </c>
      <c r="AG28" s="4" t="n">
        <v>0.0008</v>
      </c>
      <c r="AH28" s="4" t="n">
        <v>-0.0025</v>
      </c>
      <c r="AI28" s="4" t="n">
        <v>-0.0021</v>
      </c>
      <c r="AJ28" s="4" t="n">
        <v>-0.0045</v>
      </c>
      <c r="AK28" s="4" t="n">
        <v>0.0007</v>
      </c>
      <c r="AL28" s="4">
        <f>SUM(X28:AK28)</f>
        <v/>
      </c>
      <c r="AM28" s="4">
        <f>+AL28-B28</f>
        <v/>
      </c>
    </row>
    <row r="29">
      <c r="A29" s="16" t="n">
        <v>44286</v>
      </c>
      <c r="B29" s="15" t="n">
        <v>-0.00744569055</v>
      </c>
      <c r="C29" s="11">
        <f>+B29-$E$1/12</f>
        <v/>
      </c>
      <c r="D29" t="n">
        <v>0.0285</v>
      </c>
      <c r="E29" t="n">
        <v>-0.0115</v>
      </c>
      <c r="F29" t="n">
        <v>0.0454</v>
      </c>
      <c r="G29" t="n">
        <v>0.008500000000000001</v>
      </c>
      <c r="H29" t="n">
        <v>0.0125</v>
      </c>
      <c r="I29" t="n">
        <v>0.0165</v>
      </c>
      <c r="J29" s="3" t="n">
        <v>0.0618160359621594</v>
      </c>
      <c r="K29" s="3" t="n">
        <v>0.0101697325470553</v>
      </c>
      <c r="L29" s="3" t="n">
        <v>0.0444839217479271</v>
      </c>
      <c r="M29" s="3" t="n">
        <v>0.076979052651346</v>
      </c>
      <c r="N29" s="3" t="n">
        <v>0.09210319544775521</v>
      </c>
      <c r="O29" s="3" t="n">
        <v>0.151499471183764</v>
      </c>
      <c r="P29" s="3" t="n">
        <v>0.0162463890019784</v>
      </c>
      <c r="Q29" s="3" t="n">
        <v>0.0369154023580067</v>
      </c>
      <c r="R29" s="3" t="n">
        <v>0.111361229141491</v>
      </c>
      <c r="S29" s="3" t="n">
        <v>0.0392355830615412</v>
      </c>
      <c r="T29" s="3" t="n">
        <v>0.12503096398567</v>
      </c>
      <c r="U29" s="3" t="n">
        <v>0.111045532424823</v>
      </c>
      <c r="V29" s="3" t="n">
        <v>0.08522527011430669</v>
      </c>
      <c r="W29" s="3" t="n">
        <v>0.0378882203721746</v>
      </c>
      <c r="X29" s="4" t="n">
        <v>-0.0004</v>
      </c>
      <c r="Y29" s="4" t="n">
        <v>-0.0001</v>
      </c>
      <c r="Z29" s="4" t="n">
        <v>0.0013</v>
      </c>
      <c r="AA29" s="4" t="n">
        <v>-0.0022</v>
      </c>
      <c r="AB29" s="4" t="n">
        <v>-0.001</v>
      </c>
      <c r="AC29" s="4" t="n">
        <v>0.0001</v>
      </c>
      <c r="AD29" s="4" t="n">
        <v>0.0002</v>
      </c>
      <c r="AE29" s="4" t="n">
        <v>0.0001</v>
      </c>
      <c r="AF29" s="4" t="n">
        <v>-0.0027</v>
      </c>
      <c r="AG29" s="4" t="n">
        <v>0.0016</v>
      </c>
      <c r="AH29" s="4" t="n">
        <v>-0.0004</v>
      </c>
      <c r="AI29" s="4" t="n">
        <v>-0.0013</v>
      </c>
      <c r="AJ29" s="4" t="n">
        <v>-0.0044</v>
      </c>
      <c r="AK29" s="4" t="n">
        <v>0.0022</v>
      </c>
      <c r="AL29" s="4">
        <f>SUM(X29:AK29)</f>
        <v/>
      </c>
      <c r="AM29" s="4">
        <f>+AL29-B29</f>
        <v/>
      </c>
    </row>
    <row r="30">
      <c r="A30" s="16" t="n">
        <v>44316</v>
      </c>
      <c r="B30" s="15" t="n">
        <v>0.02028985175</v>
      </c>
      <c r="C30" s="11">
        <f>+B30-$E$1/12</f>
        <v/>
      </c>
      <c r="D30" t="n">
        <v>0.0425</v>
      </c>
      <c r="E30" t="n">
        <v>0.0073</v>
      </c>
      <c r="F30" t="n">
        <v>0.0529</v>
      </c>
      <c r="G30" t="n">
        <v>0.0249</v>
      </c>
      <c r="H30" t="n">
        <v>0.0284</v>
      </c>
      <c r="I30" t="n">
        <v>0.0319</v>
      </c>
      <c r="J30" s="3" t="n">
        <v>0.0389898139925005</v>
      </c>
      <c r="K30" s="3" t="n">
        <v>0.0168148488984526</v>
      </c>
      <c r="L30" s="3" t="n">
        <v>0.0729339245666413</v>
      </c>
      <c r="M30" s="3" t="n">
        <v>0.0340144264853801</v>
      </c>
      <c r="N30" s="3" t="n">
        <v>0.0729452181344209</v>
      </c>
      <c r="O30" s="3" t="n">
        <v>0.202473636129103</v>
      </c>
      <c r="P30" s="3" t="n">
        <v>0.0359726576572051</v>
      </c>
      <c r="Q30" s="3" t="n">
        <v>0.0678973542316831</v>
      </c>
      <c r="R30" s="3" t="n">
        <v>0.053663723161289</v>
      </c>
      <c r="S30" s="3" t="n">
        <v>0.054560775858719</v>
      </c>
      <c r="T30" s="3" t="n">
        <v>0.04181569161747</v>
      </c>
      <c r="U30" s="3" t="n">
        <v>0.159641138556692</v>
      </c>
      <c r="V30" s="3" t="n">
        <v>0.08138453895722959</v>
      </c>
      <c r="W30" s="3" t="n">
        <v>0.0668922517532123</v>
      </c>
      <c r="X30" s="4" t="n">
        <v>0.0034</v>
      </c>
      <c r="Y30" s="4" t="n">
        <v>0.0001</v>
      </c>
      <c r="Z30" s="4" t="n">
        <v>0.0028</v>
      </c>
      <c r="AA30" s="4" t="n">
        <v>0.0008</v>
      </c>
      <c r="AB30" s="4" t="n">
        <v>0.0028</v>
      </c>
      <c r="AC30" s="4" t="n">
        <v>-0.0004</v>
      </c>
      <c r="AD30" s="4" t="n">
        <v>0.0015</v>
      </c>
      <c r="AE30" s="4" t="n">
        <v>-0.0013</v>
      </c>
      <c r="AF30" s="4" t="n">
        <v>0.0008</v>
      </c>
      <c r="AG30" s="4" t="n">
        <v>0.0027</v>
      </c>
      <c r="AH30" s="4" t="n">
        <v>0.0008</v>
      </c>
      <c r="AI30" s="4" t="n">
        <v>0.001</v>
      </c>
      <c r="AJ30" s="4" t="n">
        <v>0.002</v>
      </c>
      <c r="AK30" s="4" t="n">
        <v>0.0047</v>
      </c>
      <c r="AL30" s="4">
        <f>SUM(X30:AK30)</f>
        <v/>
      </c>
      <c r="AM30" s="4">
        <f>+AL30-B30</f>
        <v/>
      </c>
    </row>
    <row r="31">
      <c r="A31" s="16" t="n">
        <v>44347</v>
      </c>
      <c r="B31" s="15" t="n">
        <v>0.01497747105</v>
      </c>
      <c r="C31" s="11">
        <f>+B31-$E$1/12</f>
        <v/>
      </c>
      <c r="D31" t="n">
        <v>0.0147</v>
      </c>
      <c r="E31" t="n">
        <v>0.002</v>
      </c>
      <c r="F31" t="n">
        <v>0.0066</v>
      </c>
      <c r="G31" t="n">
        <v>0.008399999999999999</v>
      </c>
      <c r="H31" t="n">
        <v>0.009599999999999999</v>
      </c>
      <c r="I31" t="n">
        <v>0.0109</v>
      </c>
      <c r="J31" s="3" t="n">
        <v>0.0410785634542743</v>
      </c>
      <c r="K31" s="3" t="n">
        <v>0.0193014421188446</v>
      </c>
      <c r="L31" s="3" t="n">
        <v>0.0745966090456187</v>
      </c>
      <c r="M31" s="3" t="n">
        <v>0.0312994768884254</v>
      </c>
      <c r="N31" s="3" t="n">
        <v>0.0698317142715672</v>
      </c>
      <c r="O31" s="3" t="n">
        <v>0.195816814392186</v>
      </c>
      <c r="P31" s="3" t="n">
        <v>0.0392155872863826</v>
      </c>
      <c r="Q31" s="3" t="n">
        <v>0.0757942286258325</v>
      </c>
      <c r="R31" s="3" t="n">
        <v>0.0469387368404033</v>
      </c>
      <c r="S31" s="3" t="n">
        <v>0.0611562038290725</v>
      </c>
      <c r="T31" s="3" t="n">
        <v>0.0399338282850071</v>
      </c>
      <c r="U31" s="3" t="n">
        <v>0.153541076473669</v>
      </c>
      <c r="V31" s="3" t="n">
        <v>0.07363484363203369</v>
      </c>
      <c r="W31" s="3" t="n">
        <v>0.07786087485668169</v>
      </c>
      <c r="X31" s="4" t="n">
        <v>0.0015</v>
      </c>
      <c r="Y31" s="4" t="n">
        <v>0.0003</v>
      </c>
      <c r="Z31" s="4" t="n">
        <v>0.0034</v>
      </c>
      <c r="AA31" s="4" t="n">
        <v>0.0003</v>
      </c>
      <c r="AB31" s="4" t="n">
        <v>0.0054</v>
      </c>
      <c r="AC31" s="4" t="n">
        <v>0</v>
      </c>
      <c r="AD31" s="4" t="n">
        <v>0.0012</v>
      </c>
      <c r="AE31" s="4" t="n">
        <v>0.0012</v>
      </c>
      <c r="AF31" s="4" t="n">
        <v>0.0002</v>
      </c>
      <c r="AG31" s="4" t="n">
        <v>0.0004</v>
      </c>
      <c r="AH31" s="4" t="n">
        <v>0.0004</v>
      </c>
      <c r="AI31" s="4" t="n">
        <v>0.0003</v>
      </c>
      <c r="AJ31" s="4" t="n">
        <v>0</v>
      </c>
      <c r="AK31" s="4" t="n">
        <v>0.0008</v>
      </c>
      <c r="AL31" s="4">
        <f>SUM(X31:AK31)</f>
        <v/>
      </c>
      <c r="AM31" s="4">
        <f>+AL31-B31</f>
        <v/>
      </c>
    </row>
    <row r="32">
      <c r="A32" s="16" t="n">
        <v>44377</v>
      </c>
      <c r="B32" s="15" t="n">
        <v>0.00357406988</v>
      </c>
      <c r="C32" s="11">
        <f>+B32-$E$1/12</f>
        <v/>
      </c>
      <c r="D32" t="n">
        <v>0.0126</v>
      </c>
      <c r="E32" t="n">
        <v>0.0083</v>
      </c>
      <c r="F32" t="n">
        <v>0.0225</v>
      </c>
      <c r="G32" t="n">
        <v>0.0104</v>
      </c>
      <c r="H32" t="n">
        <v>0.0109</v>
      </c>
      <c r="I32" t="n">
        <v>0.0113</v>
      </c>
      <c r="J32" s="3" t="n">
        <v>0.0456444851195518</v>
      </c>
      <c r="K32" s="3" t="n">
        <v>0.0174292502412956</v>
      </c>
      <c r="L32" s="3" t="n">
        <v>0.061848051913999</v>
      </c>
      <c r="M32" s="3" t="n">
        <v>0.0345147161974247</v>
      </c>
      <c r="N32" s="3" t="n">
        <v>0.0786446538532288</v>
      </c>
      <c r="O32" s="3" t="n">
        <v>0.198735854001716</v>
      </c>
      <c r="P32" s="3" t="n">
        <v>0.0307403544328474</v>
      </c>
      <c r="Q32" s="3" t="n">
        <v>0.0590292905225671</v>
      </c>
      <c r="R32" s="3" t="n">
        <v>0.0545678832113544</v>
      </c>
      <c r="S32" s="3" t="n">
        <v>0.0578583306365846</v>
      </c>
      <c r="T32" s="3" t="n">
        <v>0.0484680274465587</v>
      </c>
      <c r="U32" s="3" t="n">
        <v>0.169226251933311</v>
      </c>
      <c r="V32" s="3" t="n">
        <v>0.0751032837442723</v>
      </c>
      <c r="W32" s="3" t="n">
        <v>0.0681895667452873</v>
      </c>
      <c r="X32" s="4" t="n">
        <v>0.0015</v>
      </c>
      <c r="Y32" s="4" t="n">
        <v>0.0002</v>
      </c>
      <c r="Z32" s="4" t="n">
        <v>-0.0008</v>
      </c>
      <c r="AA32" s="4" t="n">
        <v>-0.0005999999999999999</v>
      </c>
      <c r="AB32" s="4" t="n">
        <v>-0.0056</v>
      </c>
      <c r="AC32" s="4" t="n">
        <v>0.0007</v>
      </c>
      <c r="AD32" s="4" t="n">
        <v>-0.0001</v>
      </c>
      <c r="AE32" s="4" t="n">
        <v>-0.0005999999999999999</v>
      </c>
      <c r="AF32" s="4" t="n">
        <v>0.0005999999999999999</v>
      </c>
      <c r="AG32" s="4" t="n">
        <v>0.0013</v>
      </c>
      <c r="AH32" s="4" t="n">
        <v>0.0003</v>
      </c>
      <c r="AI32" s="4" t="n">
        <v>0.0014</v>
      </c>
      <c r="AJ32" s="4" t="n">
        <v>0.0033</v>
      </c>
      <c r="AK32" s="4" t="n">
        <v>0.0017</v>
      </c>
      <c r="AL32" s="4">
        <f>SUM(X32:AK32)</f>
        <v/>
      </c>
      <c r="AM32" s="4">
        <f>+AL32-B32</f>
        <v/>
      </c>
    </row>
    <row r="33">
      <c r="A33" s="16" t="n">
        <v>44408</v>
      </c>
      <c r="B33" s="15" t="n">
        <v>0.01759880606</v>
      </c>
      <c r="C33" s="11">
        <f>+B33-$E$1/12</f>
        <v/>
      </c>
      <c r="D33" t="n">
        <v>0.0091</v>
      </c>
      <c r="E33" t="n">
        <v>0.0112</v>
      </c>
      <c r="F33" t="n">
        <v>0.0244</v>
      </c>
      <c r="G33" t="n">
        <v>0.0101</v>
      </c>
      <c r="H33" t="n">
        <v>0.009900000000000001</v>
      </c>
      <c r="I33" t="n">
        <v>0.0097</v>
      </c>
      <c r="J33" s="3" t="n">
        <v>0.0478419757613167</v>
      </c>
      <c r="K33" s="3" t="n">
        <v>0.0188706294933483</v>
      </c>
      <c r="L33" s="3" t="n">
        <v>0.0563517945356034</v>
      </c>
      <c r="M33" s="3" t="n">
        <v>0.0387406554319498</v>
      </c>
      <c r="N33" s="3" t="n">
        <v>0.059821383889377</v>
      </c>
      <c r="O33" s="3" t="n">
        <v>0.20641798088172</v>
      </c>
      <c r="P33" s="3" t="n">
        <v>0.0213581888117986</v>
      </c>
      <c r="Q33" s="3" t="n">
        <v>0.0532036926750986</v>
      </c>
      <c r="R33" s="3" t="n">
        <v>0.0524837965764971</v>
      </c>
      <c r="S33" s="3" t="n">
        <v>0.0641510010701777</v>
      </c>
      <c r="T33" s="3" t="n">
        <v>0.0619552281527807</v>
      </c>
      <c r="U33" s="3" t="n">
        <v>0.175893395026463</v>
      </c>
      <c r="V33" s="3" t="n">
        <v>0.0808196498624849</v>
      </c>
      <c r="W33" s="3" t="n">
        <v>0.0620906278313834</v>
      </c>
      <c r="X33" s="4" t="n">
        <v>0.0005999999999999999</v>
      </c>
      <c r="Y33" s="4" t="n">
        <v>-0.0012</v>
      </c>
      <c r="Z33" s="4" t="n">
        <v>0.0009</v>
      </c>
      <c r="AA33" s="4" t="n">
        <v>0.0005</v>
      </c>
      <c r="AB33" s="4" t="n">
        <v>0.0016</v>
      </c>
      <c r="AC33" s="4" t="n">
        <v>0.0031</v>
      </c>
      <c r="AD33" s="4" t="n">
        <v>0.0007</v>
      </c>
      <c r="AE33" s="4" t="n">
        <v>-0.0003</v>
      </c>
      <c r="AF33" s="4" t="n">
        <v>0.001</v>
      </c>
      <c r="AG33" s="4" t="n">
        <v>0.0015</v>
      </c>
      <c r="AH33" s="4" t="n">
        <v>0.0016</v>
      </c>
      <c r="AI33" s="4" t="n">
        <v>0.002</v>
      </c>
      <c r="AJ33" s="4" t="n">
        <v>0.003</v>
      </c>
      <c r="AK33" s="4" t="n">
        <v>0.0029</v>
      </c>
      <c r="AL33" s="4">
        <f>SUM(X33:AK33)</f>
        <v/>
      </c>
      <c r="AM33" s="4">
        <f>+AL33-B33</f>
        <v/>
      </c>
    </row>
    <row r="34">
      <c r="A34" s="16" t="n">
        <v>44439</v>
      </c>
      <c r="B34" s="15" t="n">
        <v>0.00187173933</v>
      </c>
      <c r="C34" s="11">
        <f>+B34-$E$1/12</f>
        <v/>
      </c>
      <c r="D34" t="n">
        <v>0.0217</v>
      </c>
      <c r="E34" t="n">
        <v>-0.002</v>
      </c>
      <c r="F34" t="n">
        <v>0.0298</v>
      </c>
      <c r="G34" t="n">
        <v>0.009900000000000001</v>
      </c>
      <c r="H34" t="n">
        <v>0.0122</v>
      </c>
      <c r="I34" t="n">
        <v>0.0146</v>
      </c>
      <c r="J34" s="3" t="n">
        <v>0.0365395985893195</v>
      </c>
      <c r="K34" s="3" t="n">
        <v>0.0142896001817756</v>
      </c>
      <c r="L34" s="3" t="n">
        <v>0.0508037422040069</v>
      </c>
      <c r="M34" s="3" t="n">
        <v>0.0411428960475676</v>
      </c>
      <c r="N34" s="3" t="n">
        <v>0.0718985537896084</v>
      </c>
      <c r="O34" s="3" t="n">
        <v>0.238792668608371</v>
      </c>
      <c r="P34" s="3" t="n">
        <v>0.0169755689782497</v>
      </c>
      <c r="Q34" s="3" t="n">
        <v>0.0447461110644559</v>
      </c>
      <c r="R34" s="3" t="n">
        <v>0.057628965196833</v>
      </c>
      <c r="S34" s="3" t="n">
        <v>0.0556632567307189</v>
      </c>
      <c r="T34" s="3" t="n">
        <v>0.0667758796892283</v>
      </c>
      <c r="U34" s="3" t="n">
        <v>0.166264036325106</v>
      </c>
      <c r="V34" s="3" t="n">
        <v>0.0864756059873963</v>
      </c>
      <c r="W34" s="3" t="n">
        <v>0.0520035166073607</v>
      </c>
      <c r="X34" s="4" t="n">
        <v>-0.0007</v>
      </c>
      <c r="Y34" s="4" t="n">
        <v>0.0002</v>
      </c>
      <c r="Z34" s="4" t="n">
        <v>0.0008</v>
      </c>
      <c r="AA34" s="4" t="n">
        <v>-0.0004</v>
      </c>
      <c r="AB34" s="4" t="n">
        <v>0</v>
      </c>
      <c r="AC34" s="4" t="n">
        <v>-0.0011</v>
      </c>
      <c r="AD34" s="4" t="n">
        <v>0.0001</v>
      </c>
      <c r="AE34" s="4" t="n">
        <v>0.0009</v>
      </c>
      <c r="AF34" s="4" t="n">
        <v>-0.0002</v>
      </c>
      <c r="AG34" s="4" t="n">
        <v>0.0017</v>
      </c>
      <c r="AH34" s="4" t="n">
        <v>-0.0001</v>
      </c>
      <c r="AI34" s="4" t="n">
        <v>-0.0003</v>
      </c>
      <c r="AJ34" s="4" t="n">
        <v>-0.0003</v>
      </c>
      <c r="AK34" s="4" t="n">
        <v>0.001</v>
      </c>
      <c r="AL34" s="4">
        <f>SUM(X34:AK34)</f>
        <v/>
      </c>
      <c r="AM34" s="4">
        <f>+AL34-B34</f>
        <v/>
      </c>
    </row>
    <row r="35">
      <c r="A35" s="16" t="n">
        <v>44469</v>
      </c>
      <c r="B35" s="15" t="n">
        <v>-0.01855341237</v>
      </c>
      <c r="C35" s="11">
        <f>+B35-$E$1/12</f>
        <v/>
      </c>
      <c r="D35" t="n">
        <v>-0.0423</v>
      </c>
      <c r="E35" t="n">
        <v>-0.0092</v>
      </c>
      <c r="F35" t="n">
        <v>-0.0466</v>
      </c>
      <c r="G35" t="n">
        <v>-0.0257</v>
      </c>
      <c r="H35" t="n">
        <v>-0.029</v>
      </c>
      <c r="I35" t="n">
        <v>-0.0323</v>
      </c>
      <c r="J35" s="3" t="n">
        <v>0.0238982087380374</v>
      </c>
      <c r="K35" s="3" t="n">
        <v>0.0183572769854321</v>
      </c>
      <c r="L35" s="3" t="n">
        <v>0.0606835417363168</v>
      </c>
      <c r="M35" s="3" t="n">
        <v>0.0286295230423632</v>
      </c>
      <c r="N35" s="3" t="n">
        <v>0.0541234862788019</v>
      </c>
      <c r="O35" s="3" t="n">
        <v>0.23991394997536</v>
      </c>
      <c r="P35" s="3" t="n">
        <v>0.0162628868706838</v>
      </c>
      <c r="Q35" s="3" t="n">
        <v>0.0575854600298521</v>
      </c>
      <c r="R35" s="3" t="n">
        <v>0.0496025680686534</v>
      </c>
      <c r="S35" s="3" t="n">
        <v>0.0791356909009977</v>
      </c>
      <c r="T35" s="3" t="n">
        <v>0.0402860476200369</v>
      </c>
      <c r="U35" s="3" t="n">
        <v>0.177099712345884</v>
      </c>
      <c r="V35" s="3" t="n">
        <v>0.09114789557543169</v>
      </c>
      <c r="W35" s="3" t="n">
        <v>0.0632737518321472</v>
      </c>
      <c r="X35" s="4" t="n">
        <v>0.0012</v>
      </c>
      <c r="Y35" s="4" t="n">
        <v>-0.0008</v>
      </c>
      <c r="Z35" s="4" t="n">
        <v>-0.0032</v>
      </c>
      <c r="AA35" s="4" t="n">
        <v>-0.0005999999999999999</v>
      </c>
      <c r="AB35" s="4" t="n">
        <v>-0.0017</v>
      </c>
      <c r="AC35" s="4" t="n">
        <v>-0.0026</v>
      </c>
      <c r="AD35" s="4" t="n">
        <v>-0.001</v>
      </c>
      <c r="AE35" s="4" t="n">
        <v>0.0013</v>
      </c>
      <c r="AF35" s="4" t="n">
        <v>-0.0008</v>
      </c>
      <c r="AG35" s="4" t="n">
        <v>-0.0037</v>
      </c>
      <c r="AH35" s="4" t="n">
        <v>-0.0003</v>
      </c>
      <c r="AI35" s="4" t="n">
        <v>-0.0016</v>
      </c>
      <c r="AJ35" s="4" t="n">
        <v>-0.0027</v>
      </c>
      <c r="AK35" s="4" t="n">
        <v>-0.0037</v>
      </c>
      <c r="AL35" s="4">
        <f>SUM(X35:AK35)</f>
        <v/>
      </c>
      <c r="AM35" s="4">
        <f>+AL35-B35</f>
        <v/>
      </c>
    </row>
    <row r="36">
      <c r="A36" s="16" t="n">
        <v>44500</v>
      </c>
      <c r="B36" s="15" t="n">
        <v>0.01340263332</v>
      </c>
      <c r="C36" s="11">
        <f>+B36-$E$1/12</f>
        <v/>
      </c>
      <c r="D36" t="n">
        <v>0.0539</v>
      </c>
      <c r="E36" t="n">
        <v>-0.0001</v>
      </c>
      <c r="F36" t="n">
        <v>0.0702</v>
      </c>
      <c r="G36" t="n">
        <v>0.0269</v>
      </c>
      <c r="H36" t="n">
        <v>0.0323</v>
      </c>
      <c r="I36" t="n">
        <v>0.0377</v>
      </c>
      <c r="J36" s="3" t="n">
        <v>0.0308916469340123</v>
      </c>
      <c r="K36" s="3" t="n">
        <v>0.0210909685315395</v>
      </c>
      <c r="L36" s="3" t="n">
        <v>0.0539118915691037</v>
      </c>
      <c r="M36" s="3" t="n">
        <v>0.0330007479871298</v>
      </c>
      <c r="N36" s="3" t="n">
        <v>0.06709524435166569</v>
      </c>
      <c r="O36" s="3" t="n">
        <v>0.246180202573732</v>
      </c>
      <c r="P36" s="3" t="n">
        <v>0.0200608169875498</v>
      </c>
      <c r="Q36" s="3" t="n">
        <v>0.0548090205642524</v>
      </c>
      <c r="R36" s="3" t="n">
        <v>0.0498073252030914</v>
      </c>
      <c r="S36" s="3" t="n">
        <v>0.0725644796469531</v>
      </c>
      <c r="T36" s="3" t="n">
        <v>0.0508732737935138</v>
      </c>
      <c r="U36" s="3" t="n">
        <v>0.16843899227086</v>
      </c>
      <c r="V36" s="3" t="n">
        <v>0.0697364975199387</v>
      </c>
      <c r="W36" s="3" t="n">
        <v>0.0615388920666561</v>
      </c>
      <c r="X36" s="4" t="n">
        <v>0.0017</v>
      </c>
      <c r="Y36" s="4" t="n">
        <v>0.0002</v>
      </c>
      <c r="Z36" s="4" t="n">
        <v>0.0028</v>
      </c>
      <c r="AA36" s="4" t="n">
        <v>-0.0002</v>
      </c>
      <c r="AB36" s="4" t="n">
        <v>0.001</v>
      </c>
      <c r="AC36" s="4" t="n">
        <v>-0.0011</v>
      </c>
      <c r="AD36" s="4" t="n">
        <v>0.0005999999999999999</v>
      </c>
      <c r="AE36" s="4" t="n">
        <v>-0.0015</v>
      </c>
      <c r="AF36" s="4" t="n">
        <v>-0.0002</v>
      </c>
      <c r="AG36" s="4" t="n">
        <v>0.0051</v>
      </c>
      <c r="AH36" s="4" t="n">
        <v>0.0005</v>
      </c>
      <c r="AI36" s="4" t="n">
        <v>0</v>
      </c>
      <c r="AJ36" s="4" t="n">
        <v>0.0019</v>
      </c>
      <c r="AK36" s="4" t="n">
        <v>0.0044</v>
      </c>
      <c r="AL36" s="4">
        <f>SUM(X36:AK36)</f>
        <v/>
      </c>
      <c r="AM36" s="4">
        <f>+AL36-B36</f>
        <v/>
      </c>
    </row>
    <row r="37">
      <c r="A37" s="16" t="n">
        <v>44530</v>
      </c>
      <c r="B37" s="15" t="n">
        <v>-0.00707592564</v>
      </c>
      <c r="C37" s="11">
        <f>+B37-$E$1/12</f>
        <v/>
      </c>
      <c r="D37" t="n">
        <v>-0.0231</v>
      </c>
      <c r="E37" t="n">
        <v>0.0027</v>
      </c>
      <c r="F37" t="n">
        <v>-0.008</v>
      </c>
      <c r="G37" t="n">
        <v>-0.0102</v>
      </c>
      <c r="H37" t="n">
        <v>-0.0128</v>
      </c>
      <c r="I37" t="n">
        <v>-0.0153</v>
      </c>
      <c r="J37" s="3" t="n">
        <v>0.0389643861638355</v>
      </c>
      <c r="K37" s="3" t="n">
        <v>0.0248922571017888</v>
      </c>
      <c r="L37" s="3" t="n">
        <v>0.06474726537204779</v>
      </c>
      <c r="M37" s="3" t="n">
        <v>0.0310690783938877</v>
      </c>
      <c r="N37" s="3" t="n">
        <v>0.06726331600322979</v>
      </c>
      <c r="O37" s="3" t="n">
        <v>0.212155070157269</v>
      </c>
      <c r="P37" s="3" t="n">
        <v>0.0264735351401891</v>
      </c>
      <c r="Q37" s="3" t="n">
        <v>0.067133540619858</v>
      </c>
      <c r="R37" s="3" t="n">
        <v>0.0474941907244586</v>
      </c>
      <c r="S37" s="3" t="n">
        <v>0.0784980661910918</v>
      </c>
      <c r="T37" s="3" t="n">
        <v>0.0478219226909741</v>
      </c>
      <c r="U37" s="3" t="n">
        <v>0.159317809723001</v>
      </c>
      <c r="V37" s="3" t="n">
        <v>0.0623303080278731</v>
      </c>
      <c r="W37" s="3" t="n">
        <v>0.071839253690494</v>
      </c>
      <c r="X37" s="4" t="n">
        <v>-0.0034</v>
      </c>
      <c r="Y37" s="4" t="n">
        <v>-0.001</v>
      </c>
      <c r="Z37" s="4" t="n">
        <v>-0.0031</v>
      </c>
      <c r="AA37" s="4" t="n">
        <v>-0.0002</v>
      </c>
      <c r="AB37" s="4" t="n">
        <v>-0.0005</v>
      </c>
      <c r="AC37" s="4" t="n">
        <v>0.0022</v>
      </c>
      <c r="AD37" s="4" t="n">
        <v>-0.001</v>
      </c>
      <c r="AE37" s="4" t="n">
        <v>-0.0022</v>
      </c>
      <c r="AF37" s="4" t="n">
        <v>0.0005</v>
      </c>
      <c r="AG37" s="4" t="n">
        <v>-0.0005999999999999999</v>
      </c>
      <c r="AH37" s="4" t="n">
        <v>0.0004</v>
      </c>
      <c r="AI37" s="4" t="n">
        <v>0.0004</v>
      </c>
      <c r="AJ37" s="4" t="n">
        <v>0.0017</v>
      </c>
      <c r="AK37" s="4" t="n">
        <v>-0.0017</v>
      </c>
      <c r="AL37" s="4">
        <f>SUM(X37:AK37)</f>
        <v/>
      </c>
      <c r="AM37" s="4">
        <f>+AL37-B37</f>
        <v/>
      </c>
    </row>
    <row r="38">
      <c r="A38" s="16" t="n">
        <v>44561</v>
      </c>
      <c r="B38" s="15" t="n">
        <v>0.01625633652</v>
      </c>
      <c r="C38" s="11">
        <f>+B38-$E$1/12</f>
        <v/>
      </c>
      <c r="D38" t="n">
        <v>0.039</v>
      </c>
      <c r="E38" t="n">
        <v>-0.0036</v>
      </c>
      <c r="F38" t="n">
        <v>0.0463</v>
      </c>
      <c r="G38" t="n">
        <v>0.0177</v>
      </c>
      <c r="H38" t="n">
        <v>0.022</v>
      </c>
      <c r="I38" t="n">
        <v>0.0262</v>
      </c>
      <c r="J38" s="3" t="n">
        <v>0.0401476340851605</v>
      </c>
      <c r="K38" s="3" t="n">
        <v>0.0270564922713584</v>
      </c>
      <c r="L38" s="3" t="n">
        <v>0.06349249814322649</v>
      </c>
      <c r="M38" s="3" t="n">
        <v>0.0330810444467694</v>
      </c>
      <c r="N38" s="3" t="n">
        <v>0.08741491116824281</v>
      </c>
      <c r="O38" s="3" t="n">
        <v>0.206162316438784</v>
      </c>
      <c r="P38" s="3" t="n">
        <v>0.0271956710845631</v>
      </c>
      <c r="Q38" s="3" t="n">
        <v>0.06527595778217429</v>
      </c>
      <c r="R38" s="3" t="n">
        <v>0.0494311391401548</v>
      </c>
      <c r="S38" s="3" t="n">
        <v>0.0716628016899901</v>
      </c>
      <c r="T38" s="3" t="n">
        <v>0.0482208353420111</v>
      </c>
      <c r="U38" s="3" t="n">
        <v>0.150590791888765</v>
      </c>
      <c r="V38" s="3" t="n">
        <v>0.0660666885252514</v>
      </c>
      <c r="W38" s="3" t="n">
        <v>0.0642012179935469</v>
      </c>
      <c r="X38" s="4" t="n">
        <v>0.0027</v>
      </c>
      <c r="Y38" s="4" t="n">
        <v>0.0004</v>
      </c>
      <c r="Z38" s="4" t="n">
        <v>0.0035</v>
      </c>
      <c r="AA38" s="4" t="n">
        <v>-0.0001</v>
      </c>
      <c r="AB38" s="4" t="n">
        <v>0.0028</v>
      </c>
      <c r="AC38" s="4" t="n">
        <v>-0.0015</v>
      </c>
      <c r="AD38" s="4" t="n">
        <v>0.001</v>
      </c>
      <c r="AE38" s="4" t="n">
        <v>0.0015</v>
      </c>
      <c r="AF38" s="4" t="n">
        <v>-0.0003</v>
      </c>
      <c r="AG38" s="4" t="n">
        <v>0.0033</v>
      </c>
      <c r="AH38" s="4" t="n">
        <v>0.0002</v>
      </c>
      <c r="AI38" s="4" t="n">
        <v>-0.0005</v>
      </c>
      <c r="AJ38" s="4" t="n">
        <v>-0.0013</v>
      </c>
      <c r="AK38" s="4" t="n">
        <v>0.006</v>
      </c>
      <c r="AL38" s="4">
        <f>SUM(X38:AK38)</f>
        <v/>
      </c>
      <c r="AM38" s="4">
        <f>+AL38-B38</f>
        <v/>
      </c>
    </row>
    <row r="39">
      <c r="A39" s="16" t="n">
        <v>44592</v>
      </c>
      <c r="B39" s="15" t="n">
        <v>-0.02408219138</v>
      </c>
      <c r="C39" s="11">
        <f>+B39-$E$1/12</f>
        <v/>
      </c>
      <c r="D39" t="n">
        <v>-0.0455</v>
      </c>
      <c r="E39" t="n">
        <v>-0.02</v>
      </c>
      <c r="F39" t="n">
        <v>-0.0527</v>
      </c>
      <c r="G39" t="n">
        <v>-0.0327</v>
      </c>
      <c r="H39" t="n">
        <v>-0.0353</v>
      </c>
      <c r="I39" t="n">
        <v>-0.0378</v>
      </c>
      <c r="J39" s="3" t="n">
        <v>0.0310933168157718</v>
      </c>
      <c r="K39" s="3" t="n">
        <v>0.0227600053358309</v>
      </c>
      <c r="L39" s="3" t="n">
        <v>0.0639696274955114</v>
      </c>
      <c r="M39" s="3" t="n">
        <v>0.0328924406615681</v>
      </c>
      <c r="N39" s="3" t="n">
        <v>0.0987174993686878</v>
      </c>
      <c r="O39" s="3" t="n">
        <v>0.212537177782935</v>
      </c>
      <c r="P39" s="3" t="n">
        <v>0.0245898645899082</v>
      </c>
      <c r="Q39" s="3" t="n">
        <v>0.0578992185299457</v>
      </c>
      <c r="R39" s="3" t="n">
        <v>0.0638826952409353</v>
      </c>
      <c r="S39" s="3" t="n">
        <v>0.0581561038193649</v>
      </c>
      <c r="T39" s="3" t="n">
        <v>0.0423717004088451</v>
      </c>
      <c r="U39" s="3" t="n">
        <v>0.15567450479609</v>
      </c>
      <c r="V39" s="3" t="n">
        <v>0.0820513201975592</v>
      </c>
      <c r="W39" s="3" t="n">
        <v>0.0534045249570453</v>
      </c>
      <c r="X39" s="4" t="n">
        <v>0.0025</v>
      </c>
      <c r="Y39" s="4" t="n">
        <v>0</v>
      </c>
      <c r="Z39" s="4" t="n">
        <v>-0.0019</v>
      </c>
      <c r="AA39" s="4" t="n">
        <v>-0.0009</v>
      </c>
      <c r="AB39" s="4" t="n">
        <v>-0.0015</v>
      </c>
      <c r="AC39" s="4" t="n">
        <v>-0.0029</v>
      </c>
      <c r="AD39" s="4" t="n">
        <v>-0.0011</v>
      </c>
      <c r="AE39" s="4" t="n">
        <v>-0.0025</v>
      </c>
      <c r="AF39" s="4" t="n">
        <v>-0.0012</v>
      </c>
      <c r="AG39" s="4" t="n">
        <v>-0.003</v>
      </c>
      <c r="AH39" s="4" t="n">
        <v>-0.0009</v>
      </c>
      <c r="AI39" s="4" t="n">
        <v>-0.0031</v>
      </c>
      <c r="AJ39" s="4" t="n">
        <v>-0.0027</v>
      </c>
      <c r="AK39" s="4" t="n">
        <v>-0.0046</v>
      </c>
      <c r="AL39" s="4">
        <f>SUM(X39:AK39)</f>
        <v/>
      </c>
      <c r="AM39" s="4">
        <f>+AL39-B39</f>
        <v/>
      </c>
    </row>
    <row r="40">
      <c r="A40" s="16" t="n">
        <v>44620</v>
      </c>
      <c r="B40" s="15" t="n">
        <v>-0.0058631674</v>
      </c>
      <c r="C40" s="11">
        <f>+B40-$E$1/12</f>
        <v/>
      </c>
      <c r="D40" t="n">
        <v>-0.0306</v>
      </c>
      <c r="E40" t="n">
        <v>-0.0115</v>
      </c>
      <c r="F40" t="n">
        <v>-0.0295</v>
      </c>
      <c r="G40" t="n">
        <v>-0.021</v>
      </c>
      <c r="H40" t="n">
        <v>-0.0229</v>
      </c>
      <c r="I40" t="n">
        <v>-0.0249</v>
      </c>
      <c r="J40" s="3" t="n">
        <v>0.0386053790630181</v>
      </c>
      <c r="K40" s="3" t="n">
        <v>0.0191307192704613</v>
      </c>
      <c r="L40" s="3" t="n">
        <v>0.06855683197886291</v>
      </c>
      <c r="M40" s="3" t="n">
        <v>0.033920990622111</v>
      </c>
      <c r="N40" s="3" t="n">
        <v>0.09639466805135261</v>
      </c>
      <c r="O40" s="3" t="n">
        <v>0.235923993796232</v>
      </c>
      <c r="P40" s="3" t="n">
        <v>0.0263042768104558</v>
      </c>
      <c r="Q40" s="3" t="n">
        <v>0.0581553600755708</v>
      </c>
      <c r="R40" s="3" t="n">
        <v>0.0575805069997625</v>
      </c>
      <c r="S40" s="3" t="n">
        <v>0.0518870001547406</v>
      </c>
      <c r="T40" s="3" t="n">
        <v>0.0420913300513838</v>
      </c>
      <c r="U40" s="3" t="n">
        <v>0.140972571953026</v>
      </c>
      <c r="V40" s="3" t="n">
        <v>0.0826180540737743</v>
      </c>
      <c r="W40" s="3" t="n">
        <v>0.0478583170992472</v>
      </c>
      <c r="X40" s="4" t="n">
        <v>0.0025</v>
      </c>
      <c r="Y40" s="4" t="n">
        <v>-0.0008</v>
      </c>
      <c r="Z40" s="4" t="n">
        <v>-0.0034</v>
      </c>
      <c r="AA40" s="4" t="n">
        <v>-0.0004</v>
      </c>
      <c r="AB40" s="4" t="n">
        <v>0.006</v>
      </c>
      <c r="AC40" s="4" t="n">
        <v>-0.0029</v>
      </c>
      <c r="AD40" s="4" t="n">
        <v>-0.0004</v>
      </c>
      <c r="AE40" s="4" t="n">
        <v>-0.001</v>
      </c>
      <c r="AF40" s="4" t="n">
        <v>-0.0002</v>
      </c>
      <c r="AG40" s="4" t="n">
        <v>-0.0015</v>
      </c>
      <c r="AH40" s="4" t="n">
        <v>0.0004</v>
      </c>
      <c r="AI40" s="4" t="n">
        <v>-0.0016</v>
      </c>
      <c r="AJ40" s="4" t="n">
        <v>-0.0013</v>
      </c>
      <c r="AK40" s="4" t="n">
        <v>-0.0022</v>
      </c>
      <c r="AL40" s="4">
        <f>SUM(X40:AK40)</f>
        <v/>
      </c>
      <c r="AM40" s="4">
        <f>+AL40-B40</f>
        <v/>
      </c>
    </row>
    <row r="41">
      <c r="A41" s="16" t="n">
        <v>44651</v>
      </c>
      <c r="B41" s="15" t="n">
        <v>-0.00602870055</v>
      </c>
      <c r="C41" s="11">
        <f>+B41-$E$1/12</f>
        <v/>
      </c>
      <c r="D41" t="n">
        <v>0.0194</v>
      </c>
      <c r="E41" t="n">
        <v>-0.0281</v>
      </c>
      <c r="F41" t="n">
        <v>0.0376</v>
      </c>
      <c r="G41" t="n">
        <v>-0.0044</v>
      </c>
      <c r="H41" t="n">
        <v>0.0004</v>
      </c>
      <c r="I41" t="n">
        <v>0.0051</v>
      </c>
      <c r="J41" s="3" t="n">
        <v>0.0649273520116391</v>
      </c>
      <c r="K41" s="3" t="n">
        <v>0.0220219052480255</v>
      </c>
      <c r="L41" s="3" t="n">
        <v>0.0597839965865523</v>
      </c>
      <c r="M41" s="3" t="n">
        <v>0.050310670619744</v>
      </c>
      <c r="N41" s="3" t="n">
        <v>0.117634126205649</v>
      </c>
      <c r="O41" s="3" t="n">
        <v>0.200655736197414</v>
      </c>
      <c r="P41" s="3" t="n">
        <v>0.0275045326342962</v>
      </c>
      <c r="Q41" s="3" t="n">
        <v>0.0568413450631446</v>
      </c>
      <c r="R41" s="3" t="n">
        <v>0.0509594935480937</v>
      </c>
      <c r="S41" s="3" t="n">
        <v>0.0478868319367402</v>
      </c>
      <c r="T41" s="3" t="n">
        <v>0.0471911734242932</v>
      </c>
      <c r="U41" s="3" t="n">
        <v>0.127463885484083</v>
      </c>
      <c r="V41" s="3" t="n">
        <v>0.0831834986061952</v>
      </c>
      <c r="W41" s="3" t="n">
        <v>0.0436354524341287</v>
      </c>
      <c r="X41" s="4" t="n">
        <v>0.0048</v>
      </c>
      <c r="Y41" s="4" t="n">
        <v>-0.0007</v>
      </c>
      <c r="Z41" s="4" t="n">
        <v>0.0001</v>
      </c>
      <c r="AA41" s="4" t="n">
        <v>-0.0021</v>
      </c>
      <c r="AB41" s="4" t="n">
        <v>0.0011</v>
      </c>
      <c r="AC41" s="4" t="n">
        <v>-0.0041</v>
      </c>
      <c r="AD41" s="4" t="n">
        <v>0.0007</v>
      </c>
      <c r="AE41" s="4" t="n">
        <v>-0.0012</v>
      </c>
      <c r="AF41" s="4" t="n">
        <v>-0.002</v>
      </c>
      <c r="AG41" s="4" t="n">
        <v>0.0019</v>
      </c>
      <c r="AH41" s="4" t="n">
        <v>-0.0009</v>
      </c>
      <c r="AI41" s="4" t="n">
        <v>-0.0035</v>
      </c>
      <c r="AJ41" s="4" t="n">
        <v>-0.0045</v>
      </c>
      <c r="AK41" s="4" t="n">
        <v>0.0031</v>
      </c>
      <c r="AL41" s="4">
        <f>SUM(X41:AK41)</f>
        <v/>
      </c>
      <c r="AM41" s="4">
        <f>+AL41-B41</f>
        <v/>
      </c>
    </row>
    <row r="42">
      <c r="A42" s="16" t="n">
        <v>44681</v>
      </c>
      <c r="B42" s="15" t="n">
        <v>-0.04542241618</v>
      </c>
      <c r="C42" s="11">
        <f>+B42-$E$1/12</f>
        <v/>
      </c>
      <c r="D42" t="n">
        <v>-0.08069999999999999</v>
      </c>
      <c r="E42" t="n">
        <v>-0.0381</v>
      </c>
      <c r="F42" t="n">
        <v>-0.0878</v>
      </c>
      <c r="G42" t="n">
        <v>-0.0594</v>
      </c>
      <c r="H42" t="n">
        <v>-0.0636</v>
      </c>
      <c r="I42" t="n">
        <v>-0.0679</v>
      </c>
      <c r="J42" s="3" t="n">
        <v>0.0531987783030637</v>
      </c>
      <c r="K42" s="3" t="n">
        <v>0.0194146903143504</v>
      </c>
      <c r="L42" s="3" t="n">
        <v>0.0650638168392635</v>
      </c>
      <c r="M42" s="3" t="n">
        <v>0.0577604541448038</v>
      </c>
      <c r="N42" s="3" t="n">
        <v>0.113890231561874</v>
      </c>
      <c r="O42" s="3" t="n">
        <v>0.16891985675514</v>
      </c>
      <c r="P42" s="3" t="n">
        <v>0.0318307111619987</v>
      </c>
      <c r="Q42" s="3" t="n">
        <v>0.0670813853628959</v>
      </c>
      <c r="R42" s="3" t="n">
        <v>0.0412781615218831</v>
      </c>
      <c r="S42" s="3" t="n">
        <v>0.0615507128983802</v>
      </c>
      <c r="T42" s="3" t="n">
        <v>0.0362908922091302</v>
      </c>
      <c r="U42" s="3" t="n">
        <v>0.134552613136143</v>
      </c>
      <c r="V42" s="3" t="n">
        <v>0.0843349210753296</v>
      </c>
      <c r="W42" s="3" t="n">
        <v>0.06483277471574191</v>
      </c>
      <c r="X42" s="4" t="n">
        <v>0.0031</v>
      </c>
      <c r="Y42" s="4" t="n">
        <v>-0.0011</v>
      </c>
      <c r="Z42" s="4" t="n">
        <v>-0.0041</v>
      </c>
      <c r="AA42" s="4" t="n">
        <v>-0.0041</v>
      </c>
      <c r="AB42" s="4" t="n">
        <v>-0.0025</v>
      </c>
      <c r="AC42" s="4" t="n">
        <v>-0.0052</v>
      </c>
      <c r="AD42" s="4" t="n">
        <v>-0.0022</v>
      </c>
      <c r="AE42" s="4" t="n">
        <v>-0.0055</v>
      </c>
      <c r="AF42" s="4" t="n">
        <v>-0.0018</v>
      </c>
      <c r="AG42" s="4" t="n">
        <v>-0.0055</v>
      </c>
      <c r="AH42" s="4" t="n">
        <v>-0.0009</v>
      </c>
      <c r="AI42" s="4" t="n">
        <v>-0.0052</v>
      </c>
      <c r="AJ42" s="4" t="n">
        <v>-0.008</v>
      </c>
      <c r="AK42" s="4" t="n">
        <v>-0.003</v>
      </c>
      <c r="AL42" s="4">
        <f>SUM(X42:AK42)</f>
        <v/>
      </c>
      <c r="AM42" s="4">
        <f>+AL42-B42</f>
        <v/>
      </c>
    </row>
    <row r="43">
      <c r="A43" s="16" t="n">
        <v>44712</v>
      </c>
      <c r="B43" s="15" t="n">
        <v>-0.00254726593</v>
      </c>
      <c r="C43" s="11">
        <f>+B43-$E$1/12</f>
        <v/>
      </c>
      <c r="D43" t="n">
        <v>0.0045</v>
      </c>
      <c r="E43" t="n">
        <v>0.0076</v>
      </c>
      <c r="F43" t="n">
        <v>0.0023</v>
      </c>
      <c r="G43" t="n">
        <v>0.006</v>
      </c>
      <c r="H43" t="n">
        <v>0.0057</v>
      </c>
      <c r="I43" t="n">
        <v>0.0054</v>
      </c>
      <c r="J43" s="3" t="n">
        <v>0.0466801171256048</v>
      </c>
      <c r="K43" s="3" t="n">
        <v>0.0209384415291351</v>
      </c>
      <c r="L43" s="3" t="n">
        <v>0.0634665607505368</v>
      </c>
      <c r="M43" s="3" t="n">
        <v>0.0581646294721854</v>
      </c>
      <c r="N43" s="3" t="n">
        <v>0.131957049637924</v>
      </c>
      <c r="O43" s="3" t="n">
        <v>0.15792845891581</v>
      </c>
      <c r="P43" s="3" t="n">
        <v>0.0352592213724654</v>
      </c>
      <c r="Q43" s="3" t="n">
        <v>0.0622254102814139</v>
      </c>
      <c r="R43" s="3" t="n">
        <v>0.0441122275013087</v>
      </c>
      <c r="S43" s="3" t="n">
        <v>0.057168898826468</v>
      </c>
      <c r="T43" s="3" t="n">
        <v>0.0405760240587254</v>
      </c>
      <c r="U43" s="3" t="n">
        <v>0.133346811971289</v>
      </c>
      <c r="V43" s="3" t="n">
        <v>0.0834661308540071</v>
      </c>
      <c r="W43" s="3" t="n">
        <v>0.0647100177031253</v>
      </c>
      <c r="X43" s="4" t="n">
        <v>0.0023</v>
      </c>
      <c r="Y43" s="4" t="n">
        <v>0.0001</v>
      </c>
      <c r="Z43" s="4" t="n">
        <v>0.0018</v>
      </c>
      <c r="AA43" s="4" t="n">
        <v>0.0004</v>
      </c>
      <c r="AB43" s="4" t="n">
        <v>-0.0041</v>
      </c>
      <c r="AC43" s="4" t="n">
        <v>-0.0011</v>
      </c>
      <c r="AD43" s="4" t="n">
        <v>0.0001</v>
      </c>
      <c r="AE43" s="4" t="n">
        <v>0.0011</v>
      </c>
      <c r="AF43" s="4" t="n">
        <v>0.0003</v>
      </c>
      <c r="AG43" s="4" t="n">
        <v>0.0001</v>
      </c>
      <c r="AH43" s="4" t="n">
        <v>-0.0003</v>
      </c>
      <c r="AI43" s="4" t="n">
        <v>0.0011</v>
      </c>
      <c r="AJ43" s="4" t="n">
        <v>-0.0017</v>
      </c>
      <c r="AK43" s="4" t="n">
        <v>-0.0029</v>
      </c>
      <c r="AL43" s="4">
        <f>SUM(X43:AK43)</f>
        <v/>
      </c>
      <c r="AM43" s="4">
        <f>+AL43-B43</f>
        <v/>
      </c>
    </row>
    <row r="44">
      <c r="A44" s="16" t="n">
        <v>44742</v>
      </c>
      <c r="B44" s="15" t="n">
        <v>-0.03808865141</v>
      </c>
      <c r="C44" s="11">
        <f>+B44-$E$1/12</f>
        <v/>
      </c>
      <c r="D44" t="n">
        <v>-0.0809</v>
      </c>
      <c r="E44" t="n">
        <v>-0.0155</v>
      </c>
      <c r="F44" t="n">
        <v>-0.0825</v>
      </c>
      <c r="G44" t="n">
        <v>-0.0482</v>
      </c>
      <c r="H44" t="n">
        <v>-0.0547</v>
      </c>
      <c r="I44" t="n">
        <v>-0.0613</v>
      </c>
      <c r="J44" s="3" t="n">
        <v>0.0369859401415121</v>
      </c>
      <c r="K44" s="3" t="n">
        <v>0.0201570010270789</v>
      </c>
      <c r="L44" s="3" t="n">
        <v>0.0598386308318407</v>
      </c>
      <c r="M44" s="3" t="n">
        <v>0.0514801568276467</v>
      </c>
      <c r="N44" s="3" t="n">
        <v>0.128334650511035</v>
      </c>
      <c r="O44" s="3" t="n">
        <v>0.176693571367422</v>
      </c>
      <c r="P44" s="3" t="n">
        <v>0.0316740099058934</v>
      </c>
      <c r="Q44" s="3" t="n">
        <v>0.0658019593566932</v>
      </c>
      <c r="R44" s="3" t="n">
        <v>0.0497046775698884</v>
      </c>
      <c r="S44" s="3" t="n">
        <v>0.0544237885789671</v>
      </c>
      <c r="T44" s="3" t="n">
        <v>0.0386834410524655</v>
      </c>
      <c r="U44" s="3" t="n">
        <v>0.1401789141223</v>
      </c>
      <c r="V44" s="3" t="n">
        <v>0.0849132774319438</v>
      </c>
      <c r="W44" s="3" t="n">
        <v>0.0611299812753102</v>
      </c>
      <c r="X44" s="4" t="n">
        <v>-0.0029</v>
      </c>
      <c r="Y44" s="4" t="n">
        <v>-0.0011</v>
      </c>
      <c r="Z44" s="4" t="n">
        <v>-0.0059</v>
      </c>
      <c r="AA44" s="4" t="n">
        <v>-0.0025</v>
      </c>
      <c r="AB44" s="4" t="n">
        <v>-0.0021</v>
      </c>
      <c r="AC44" s="4" t="n">
        <v>-0.0029</v>
      </c>
      <c r="AD44" s="4" t="n">
        <v>-0.0034</v>
      </c>
      <c r="AE44" s="4" t="n">
        <v>-0.0049</v>
      </c>
      <c r="AF44" s="4" t="n">
        <v>-0.0003</v>
      </c>
      <c r="AG44" s="4" t="n">
        <v>-0.0046</v>
      </c>
      <c r="AH44" s="4" t="n">
        <v>-0.0012</v>
      </c>
      <c r="AI44" s="4" t="n">
        <v>-0.0021</v>
      </c>
      <c r="AJ44" s="4" t="n">
        <v>-0.001</v>
      </c>
      <c r="AK44" s="4" t="n">
        <v>-0.0042</v>
      </c>
      <c r="AL44" s="4">
        <f>SUM(X44:AK44)</f>
        <v/>
      </c>
      <c r="AM44" s="4">
        <f>+AL44-B44</f>
        <v/>
      </c>
    </row>
    <row r="45">
      <c r="A45" s="16" t="n">
        <v>44773</v>
      </c>
      <c r="B45" s="15" t="n">
        <v>0.02829295464</v>
      </c>
      <c r="C45" s="11">
        <f>+B45-$E$1/12</f>
        <v/>
      </c>
      <c r="D45" t="n">
        <v>0.0707</v>
      </c>
      <c r="E45" t="n">
        <v>0.0254</v>
      </c>
      <c r="F45" t="n">
        <v>0.0921</v>
      </c>
      <c r="G45" t="n">
        <v>0.048</v>
      </c>
      <c r="H45" t="n">
        <v>0.0526</v>
      </c>
      <c r="I45" t="n">
        <v>0.0571</v>
      </c>
      <c r="J45" s="3" t="n">
        <v>0.0578731478163318</v>
      </c>
      <c r="K45" s="3" t="n">
        <v>0.0266833978545597</v>
      </c>
      <c r="L45" s="3" t="n">
        <v>0.0618367724666711</v>
      </c>
      <c r="M45" s="3" t="n">
        <v>0.0355991478092131</v>
      </c>
      <c r="N45" s="3" t="n">
        <v>0.149243624595254</v>
      </c>
      <c r="O45" s="3" t="n">
        <v>0.145704617654815</v>
      </c>
      <c r="P45" s="3" t="n">
        <v>0.0326346371150628</v>
      </c>
      <c r="Q45" s="3" t="n">
        <v>0.07544795193572131</v>
      </c>
      <c r="R45" s="3" t="n">
        <v>0.0504856855302774</v>
      </c>
      <c r="S45" s="3" t="n">
        <v>0.0537325278486195</v>
      </c>
      <c r="T45" s="3" t="n">
        <v>0.0467593195792735</v>
      </c>
      <c r="U45" s="3" t="n">
        <v>0.123055558060667</v>
      </c>
      <c r="V45" s="3" t="n">
        <v>0.0867751082076945</v>
      </c>
      <c r="W45" s="3" t="n">
        <v>0.0541685035258377</v>
      </c>
      <c r="X45" s="4" t="n">
        <v>-0.0013</v>
      </c>
      <c r="Y45" s="4" t="n">
        <v>0</v>
      </c>
      <c r="Z45" s="4" t="n">
        <v>0.003</v>
      </c>
      <c r="AA45" s="4" t="n">
        <v>0.0008</v>
      </c>
      <c r="AB45" s="4" t="n">
        <v>-0.0039</v>
      </c>
      <c r="AC45" s="4" t="n">
        <v>0.0049</v>
      </c>
      <c r="AD45" s="4" t="n">
        <v>0.0021</v>
      </c>
      <c r="AE45" s="4" t="n">
        <v>0.0047</v>
      </c>
      <c r="AF45" s="4" t="n">
        <v>0.0015</v>
      </c>
      <c r="AG45" s="4" t="n">
        <v>0.0049</v>
      </c>
      <c r="AH45" s="4" t="n">
        <v>0.0019</v>
      </c>
      <c r="AI45" s="4" t="n">
        <v>0.0033</v>
      </c>
      <c r="AJ45" s="4" t="n">
        <v>0.0021</v>
      </c>
      <c r="AK45" s="4" t="n">
        <v>0.0048</v>
      </c>
      <c r="AL45" s="4">
        <f>SUM(X45:AK45)</f>
        <v/>
      </c>
      <c r="AM45" s="4">
        <f>+AL45-B45</f>
        <v/>
      </c>
    </row>
    <row r="46">
      <c r="A46" s="16" t="n">
        <v>44804</v>
      </c>
      <c r="B46" s="15" t="n">
        <v>-0.04051495949</v>
      </c>
      <c r="C46" s="11">
        <f>+B46-$E$1/12</f>
        <v/>
      </c>
      <c r="D46" t="n">
        <v>-0.0436</v>
      </c>
      <c r="E46" t="n">
        <v>-0.0304</v>
      </c>
      <c r="F46" t="n">
        <v>-0.0408</v>
      </c>
      <c r="G46" t="n">
        <v>-0.037</v>
      </c>
      <c r="H46" t="n">
        <v>-0.0384</v>
      </c>
      <c r="I46" t="n">
        <v>-0.0397</v>
      </c>
      <c r="J46" s="3" t="n">
        <v>0.0511654536190369</v>
      </c>
      <c r="K46" s="3" t="n">
        <v>0.0297455699298535</v>
      </c>
      <c r="L46" s="3" t="n">
        <v>0.0607171264340344</v>
      </c>
      <c r="M46" s="3" t="n">
        <v>0.0354530941697988</v>
      </c>
      <c r="N46" s="3" t="n">
        <v>0.139255305463917</v>
      </c>
      <c r="O46" s="3" t="n">
        <v>0.151035609348216</v>
      </c>
      <c r="P46" s="3" t="n">
        <v>0.0295231997915894</v>
      </c>
      <c r="Q46" s="3" t="n">
        <v>0.0821997599938547</v>
      </c>
      <c r="R46" s="3" t="n">
        <v>0.0519211111881844</v>
      </c>
      <c r="S46" s="3" t="n">
        <v>0.0561752950250053</v>
      </c>
      <c r="T46" s="3" t="n">
        <v>0.0422587061753481</v>
      </c>
      <c r="U46" s="3" t="n">
        <v>0.12223275871766</v>
      </c>
      <c r="V46" s="3" t="n">
        <v>0.0955998993282287</v>
      </c>
      <c r="W46" s="3" t="n">
        <v>0.0527171108152705</v>
      </c>
      <c r="X46" s="4" t="n">
        <v>-0.0009</v>
      </c>
      <c r="Y46" s="4" t="n">
        <v>-0.0004</v>
      </c>
      <c r="Z46" s="4" t="n">
        <v>-0.0044</v>
      </c>
      <c r="AA46" s="4" t="n">
        <v>-0.002</v>
      </c>
      <c r="AB46" s="4" t="n">
        <v>-0.0041</v>
      </c>
      <c r="AC46" s="4" t="n">
        <v>-0.0055</v>
      </c>
      <c r="AD46" s="4" t="n">
        <v>-0.0022</v>
      </c>
      <c r="AE46" s="4" t="n">
        <v>-0.0038</v>
      </c>
      <c r="AF46" s="4" t="n">
        <v>-0.002</v>
      </c>
      <c r="AG46" s="4" t="n">
        <v>-0.0024</v>
      </c>
      <c r="AH46" s="4" t="n">
        <v>-0.0012</v>
      </c>
      <c r="AI46" s="4" t="n">
        <v>-0.0037</v>
      </c>
      <c r="AJ46" s="4" t="n">
        <v>-0.0045</v>
      </c>
      <c r="AK46" s="4" t="n">
        <v>-0.0032</v>
      </c>
      <c r="AL46" s="4">
        <f>SUM(X46:AK46)</f>
        <v/>
      </c>
      <c r="AM46" s="4">
        <f>+AL46-B46</f>
        <v/>
      </c>
    </row>
    <row r="47">
      <c r="A47" s="16" t="n">
        <v>44834</v>
      </c>
      <c r="B47" s="15" t="n">
        <v>-0.06222179318000001</v>
      </c>
      <c r="C47" s="11">
        <f>+B47-$E$1/12</f>
        <v/>
      </c>
      <c r="D47" t="n">
        <v>-0.0939</v>
      </c>
      <c r="E47" t="n">
        <v>-0.0414</v>
      </c>
      <c r="F47" t="n">
        <v>-0.0924</v>
      </c>
      <c r="G47" t="n">
        <v>-0.0677</v>
      </c>
      <c r="H47" t="n">
        <v>-0.07290000000000001</v>
      </c>
      <c r="I47" t="n">
        <v>-0.07820000000000001</v>
      </c>
      <c r="J47" s="3" t="n">
        <v>0.07190062901559111</v>
      </c>
      <c r="K47" s="3" t="n">
        <v>0.022720636851578</v>
      </c>
      <c r="L47" s="3" t="n">
        <v>0.0410134521295979</v>
      </c>
      <c r="M47" s="3" t="n">
        <v>0.07601304921013829</v>
      </c>
      <c r="N47" s="3" t="n">
        <v>0.193178811124558</v>
      </c>
      <c r="O47" s="3" t="n">
        <v>0.0809449990679577</v>
      </c>
      <c r="P47" s="3" t="n">
        <v>0.0194945717157603</v>
      </c>
      <c r="Q47" s="3" t="n">
        <v>0.0526245482156917</v>
      </c>
      <c r="R47" s="3" t="n">
        <v>0.0994254333596732</v>
      </c>
      <c r="S47" s="3" t="n">
        <v>0.0412927131228262</v>
      </c>
      <c r="T47" s="3" t="n">
        <v>0.0969068215716915</v>
      </c>
      <c r="U47" s="3" t="n">
        <v>0.0688945737353855</v>
      </c>
      <c r="V47" s="3" t="n">
        <v>0.0946285786196716</v>
      </c>
      <c r="W47" s="3" t="n">
        <v>0.0409611822598777</v>
      </c>
      <c r="X47" s="4" t="n">
        <v>-0.0048</v>
      </c>
      <c r="Y47" s="4" t="n">
        <v>-0.0028</v>
      </c>
      <c r="Z47" s="4" t="n">
        <v>-0.0041</v>
      </c>
      <c r="AA47" s="4" t="n">
        <v>-0.0048</v>
      </c>
      <c r="AB47" s="4" t="n">
        <v>-0.0051</v>
      </c>
      <c r="AC47" s="4" t="n">
        <v>-0.0026</v>
      </c>
      <c r="AD47" s="4" t="n">
        <v>-0.0026</v>
      </c>
      <c r="AE47" s="4" t="n">
        <v>-0.0051</v>
      </c>
      <c r="AF47" s="4" t="n">
        <v>-0.0044</v>
      </c>
      <c r="AG47" s="4" t="n">
        <v>-0.0038</v>
      </c>
      <c r="AH47" s="4" t="n">
        <v>-0.0063</v>
      </c>
      <c r="AI47" s="4" t="n">
        <v>-0.0031</v>
      </c>
      <c r="AJ47" s="4" t="n">
        <v>-0.008</v>
      </c>
      <c r="AK47" s="4" t="n">
        <v>-0.0053</v>
      </c>
      <c r="AL47" s="4">
        <f>SUM(X47:AK47)</f>
        <v/>
      </c>
      <c r="AM47" s="4">
        <f>+AL47-B47</f>
        <v/>
      </c>
    </row>
    <row r="48">
      <c r="A48" s="16" t="n">
        <v>44865</v>
      </c>
      <c r="B48" s="15" t="n">
        <v>0.005027790920000001</v>
      </c>
      <c r="C48" s="11">
        <f>+B48-$E$1/12</f>
        <v/>
      </c>
      <c r="D48" t="n">
        <v>0.0635</v>
      </c>
      <c r="E48" t="n">
        <v>-0.0128</v>
      </c>
      <c r="F48" t="n">
        <v>0.0813</v>
      </c>
      <c r="G48" t="n">
        <v>0.0253</v>
      </c>
      <c r="H48" t="n">
        <v>0.033</v>
      </c>
      <c r="I48" t="n">
        <v>0.0406</v>
      </c>
      <c r="J48" s="3" t="n">
        <v>0.0610473505463149</v>
      </c>
      <c r="K48" s="3" t="n">
        <v>0.0235403980986333</v>
      </c>
      <c r="L48" s="3" t="n">
        <v>0.0430932042682951</v>
      </c>
      <c r="M48" s="3" t="n">
        <v>0.0714435152111067</v>
      </c>
      <c r="N48" s="3" t="n">
        <v>0.194595658245901</v>
      </c>
      <c r="O48" s="3" t="n">
        <v>0.08127336303347479</v>
      </c>
      <c r="P48" s="3" t="n">
        <v>0.0166120591675512</v>
      </c>
      <c r="Q48" s="3" t="n">
        <v>0.0539168450004655</v>
      </c>
      <c r="R48" s="3" t="n">
        <v>0.0991118050753773</v>
      </c>
      <c r="S48" s="3" t="n">
        <v>0.0469388599172071</v>
      </c>
      <c r="T48" s="3" t="n">
        <v>0.09360404512765309</v>
      </c>
      <c r="U48" s="3" t="n">
        <v>0.0705846364935762</v>
      </c>
      <c r="V48" s="3" t="n">
        <v>0.0967846843299731</v>
      </c>
      <c r="W48" s="3" t="n">
        <v>0.0474535754844695</v>
      </c>
      <c r="X48" s="4" t="n">
        <v>0.0033</v>
      </c>
      <c r="Y48" s="4" t="n">
        <v>-0.0005</v>
      </c>
      <c r="Z48" s="4" t="n">
        <v>0.0036</v>
      </c>
      <c r="AA48" s="4" t="n">
        <v>0.0003</v>
      </c>
      <c r="AB48" s="4" t="n">
        <v>-0.0032</v>
      </c>
      <c r="AC48" s="4" t="n">
        <v>0.0005</v>
      </c>
      <c r="AD48" s="4" t="n">
        <v>0.0003</v>
      </c>
      <c r="AE48" s="4" t="n">
        <v>0.0012</v>
      </c>
      <c r="AF48" s="4" t="n">
        <v>-0.0014</v>
      </c>
      <c r="AG48" s="4" t="n">
        <v>0.0036</v>
      </c>
      <c r="AH48" s="4" t="n">
        <v>0.0014</v>
      </c>
      <c r="AI48" s="4" t="n">
        <v>-0.0009</v>
      </c>
      <c r="AJ48" s="4" t="n">
        <v>-0.0058</v>
      </c>
      <c r="AK48" s="4" t="n">
        <v>0.0014</v>
      </c>
      <c r="AL48" s="4">
        <f>SUM(X48:AK48)</f>
        <v/>
      </c>
      <c r="AM48" s="4">
        <f>+AL48-B48</f>
        <v/>
      </c>
    </row>
    <row r="49">
      <c r="A49" s="16" t="n">
        <v>44895</v>
      </c>
      <c r="B49" s="15" t="n">
        <v>0.05924802381</v>
      </c>
      <c r="C49" s="11">
        <f>+B49-$E$1/12</f>
        <v/>
      </c>
      <c r="D49" t="n">
        <v>0.0834</v>
      </c>
      <c r="E49" t="n">
        <v>0.0381</v>
      </c>
      <c r="F49" t="n">
        <v>0.0556</v>
      </c>
      <c r="G49" t="n">
        <v>0.0607</v>
      </c>
      <c r="H49" t="n">
        <v>0.0653</v>
      </c>
      <c r="I49" t="n">
        <v>0.0698</v>
      </c>
      <c r="J49" s="3" t="n">
        <v>0.07702281108624059</v>
      </c>
      <c r="K49" s="3" t="n">
        <v>0.0216933397023781</v>
      </c>
      <c r="L49" s="3" t="n">
        <v>0.0390673073359453</v>
      </c>
      <c r="M49" s="3" t="n">
        <v>0.0640743109134523</v>
      </c>
      <c r="N49" s="3" t="n">
        <v>0.190808665383551</v>
      </c>
      <c r="O49" s="3" t="n">
        <v>0.06941731424583129</v>
      </c>
      <c r="P49" s="3" t="n">
        <v>0.016557074855365</v>
      </c>
      <c r="Q49" s="3" t="n">
        <v>0.0520854819051331</v>
      </c>
      <c r="R49" s="3" t="n">
        <v>0.107812292613811</v>
      </c>
      <c r="S49" s="3" t="n">
        <v>0.0433060839767365</v>
      </c>
      <c r="T49" s="3" t="n">
        <v>0.105169913512536</v>
      </c>
      <c r="U49" s="3" t="n">
        <v>0.07234665218227911</v>
      </c>
      <c r="V49" s="3" t="n">
        <v>0.0989799851310432</v>
      </c>
      <c r="W49" s="3" t="n">
        <v>0.0416587671556961</v>
      </c>
      <c r="X49" s="4" t="n">
        <v>0.001</v>
      </c>
      <c r="Y49" s="4" t="n">
        <v>0.0033</v>
      </c>
      <c r="Z49" s="4" t="n">
        <v>0.0052</v>
      </c>
      <c r="AA49" s="4" t="n">
        <v>0.0052</v>
      </c>
      <c r="AB49" s="4" t="n">
        <v>0.0161</v>
      </c>
      <c r="AC49" s="4" t="n">
        <v>0.0017</v>
      </c>
      <c r="AD49" s="4" t="n">
        <v>0.0016</v>
      </c>
      <c r="AE49" s="4" t="n">
        <v>0.006</v>
      </c>
      <c r="AF49" s="4" t="n">
        <v>0.0038</v>
      </c>
      <c r="AG49" s="4" t="n">
        <v>0.0023</v>
      </c>
      <c r="AH49" s="4" t="n">
        <v>0.0019</v>
      </c>
      <c r="AI49" s="4" t="n">
        <v>0.0027</v>
      </c>
      <c r="AJ49" s="4" t="n">
        <v>0.0068</v>
      </c>
      <c r="AK49" s="4" t="n">
        <v>0.0026</v>
      </c>
      <c r="AL49" s="4">
        <f>SUM(X49:AK49)</f>
        <v/>
      </c>
      <c r="AM49" s="4">
        <f>+AL49-B49</f>
        <v/>
      </c>
    </row>
    <row r="50">
      <c r="A50" s="16" t="inlineStr">
        <is>
          <t> </t>
        </is>
      </c>
      <c r="B50" s="15" t="n">
        <v>-0.01216976397</v>
      </c>
      <c r="C50" s="11">
        <f>+B50-$E$1/12</f>
        <v/>
      </c>
      <c r="J50" s="3" t="n">
        <v>0.0833566107701209</v>
      </c>
      <c r="K50" s="3" t="n">
        <v>0.00731063977905044</v>
      </c>
      <c r="L50" s="3" t="n">
        <v>0.0151318272367541</v>
      </c>
      <c r="M50" s="3" t="n">
        <v>0.0882902315304933</v>
      </c>
      <c r="N50" s="3" t="n">
        <v>0.239980312247913</v>
      </c>
      <c r="O50" s="3" t="n">
        <v>0.0297559681125186</v>
      </c>
      <c r="P50" s="3" t="n">
        <v>0.00612228000471037</v>
      </c>
      <c r="Q50" s="3" t="n">
        <v>0.0197537126676304</v>
      </c>
      <c r="R50" s="3" t="n">
        <v>0.172636571872973</v>
      </c>
      <c r="S50" s="3" t="n">
        <v>0.0171904131760452</v>
      </c>
      <c r="T50" s="3" t="n">
        <v>0.160968313528592</v>
      </c>
      <c r="U50" s="3" t="n">
        <v>0.0293669614152922</v>
      </c>
      <c r="V50" s="3" t="n">
        <v>0.11501854056566</v>
      </c>
      <c r="W50" s="3" t="n">
        <v>0.0151176170922439</v>
      </c>
      <c r="X50" s="4" t="n">
        <v>-0.0022</v>
      </c>
      <c r="Y50" s="4" t="n">
        <v>-0.0002</v>
      </c>
      <c r="Z50" s="4" t="n">
        <v>0</v>
      </c>
      <c r="AA50" s="4" t="n">
        <v>-0.0005999999999999999</v>
      </c>
      <c r="AB50" s="4" t="n">
        <v>0.0063</v>
      </c>
      <c r="AC50" s="4" t="n">
        <v>-0.0005999999999999999</v>
      </c>
      <c r="AD50" s="4" t="n">
        <v>0.0001</v>
      </c>
      <c r="AE50" s="4" t="n">
        <v>-0.0002</v>
      </c>
      <c r="AF50" s="4" t="n">
        <v>-0.0033</v>
      </c>
      <c r="AG50" s="4" t="n">
        <v>-0.001</v>
      </c>
      <c r="AH50" s="4" t="n">
        <v>-0.0027</v>
      </c>
      <c r="AI50" s="4" t="n">
        <v>0.0001</v>
      </c>
      <c r="AJ50" s="4" t="n">
        <v>-0.0034</v>
      </c>
      <c r="AK50" s="4" t="n">
        <v>-0.0007</v>
      </c>
      <c r="AL50" s="4">
        <f>SUM(X50:AK50)</f>
        <v/>
      </c>
      <c r="AM50" s="4">
        <f>+AL50-B50</f>
        <v/>
      </c>
    </row>
    <row r="51">
      <c r="A51" s="16" t="n">
        <v>44957</v>
      </c>
      <c r="B51" s="15" t="n">
        <v>0.04260346899</v>
      </c>
      <c r="C51" s="11">
        <f>+B51-$E$1/12</f>
        <v/>
      </c>
      <c r="D51" t="n">
        <v>0.075</v>
      </c>
      <c r="E51" t="n">
        <v>0.0333</v>
      </c>
      <c r="F51" t="n">
        <v>0.0629</v>
      </c>
      <c r="G51" t="n">
        <v>0.0542</v>
      </c>
      <c r="H51" t="n">
        <v>0.0583</v>
      </c>
      <c r="I51" t="n">
        <v>0.0625</v>
      </c>
      <c r="J51" s="3" t="n">
        <v>0.0925550340173983</v>
      </c>
      <c r="K51" s="3" t="n">
        <v>0.00704445237605513</v>
      </c>
      <c r="L51" s="3" t="n">
        <v>0.015464942327963</v>
      </c>
      <c r="M51" s="3" t="n">
        <v>0.08578422755206649</v>
      </c>
      <c r="N51" s="3" t="n">
        <v>0.224144151740778</v>
      </c>
      <c r="O51" s="3" t="n">
        <v>0.0321618973575406</v>
      </c>
      <c r="P51" s="3" t="n">
        <v>0.00624328037745169</v>
      </c>
      <c r="Q51" s="3" t="n">
        <v>0.0190513143280597</v>
      </c>
      <c r="R51" s="3" t="n">
        <v>0.175513651170886</v>
      </c>
      <c r="S51" s="3" t="n">
        <v>0.0165638536533505</v>
      </c>
      <c r="T51" s="3" t="n">
        <v>0.17535005367546</v>
      </c>
      <c r="U51" s="3" t="n">
        <v>0.0297079361686038</v>
      </c>
      <c r="V51" s="3" t="n">
        <v>0.105912264469646</v>
      </c>
      <c r="W51" s="3" t="n">
        <v>0.014502940784738</v>
      </c>
      <c r="X51" s="4" t="n">
        <v>0.001</v>
      </c>
      <c r="Y51" s="4" t="n">
        <v>0.0005999999999999999</v>
      </c>
      <c r="Z51" s="4" t="n">
        <v>0.0014</v>
      </c>
      <c r="AA51" s="4" t="n">
        <v>0.003</v>
      </c>
      <c r="AB51" s="4" t="n">
        <v>0.0129</v>
      </c>
      <c r="AC51" s="4" t="n">
        <v>0.0007</v>
      </c>
      <c r="AD51" s="4" t="n">
        <v>0.0004</v>
      </c>
      <c r="AE51" s="4" t="n">
        <v>0.0014</v>
      </c>
      <c r="AF51" s="4" t="n">
        <v>0.0062</v>
      </c>
      <c r="AG51" s="4" t="n">
        <v>0.001</v>
      </c>
      <c r="AH51" s="4" t="n">
        <v>0.0036</v>
      </c>
      <c r="AI51" s="4" t="n">
        <v>0.001</v>
      </c>
      <c r="AJ51" s="4" t="n">
        <v>0.0081</v>
      </c>
      <c r="AK51" s="4" t="n">
        <v>0.0014</v>
      </c>
      <c r="AL51" s="4">
        <f>SUM(X51:AK51)</f>
        <v/>
      </c>
      <c r="AM51" s="4">
        <f>+AL51-B51</f>
        <v/>
      </c>
    </row>
    <row r="52">
      <c r="A52" s="16" t="n">
        <v>44985</v>
      </c>
      <c r="B52" s="15" t="n">
        <v>-0.03771393256</v>
      </c>
      <c r="C52" s="11">
        <f>+B52-$E$1/12</f>
        <v/>
      </c>
      <c r="D52" t="n">
        <v>-0.0332</v>
      </c>
      <c r="E52" t="n">
        <v>-0.0267</v>
      </c>
      <c r="F52" t="n">
        <v>-0.0251</v>
      </c>
      <c r="G52" t="n">
        <v>-0.0299</v>
      </c>
      <c r="H52" t="n">
        <v>-0.0306</v>
      </c>
      <c r="I52" t="n">
        <v>-0.0312</v>
      </c>
      <c r="J52" s="3" t="n">
        <v>0.0947008402365801</v>
      </c>
      <c r="K52" s="3" t="n">
        <v>0.00763996353525677</v>
      </c>
      <c r="L52" s="3" t="n">
        <v>0.0174650925508351</v>
      </c>
      <c r="M52" s="3" t="n">
        <v>0.08599162269066959</v>
      </c>
      <c r="N52" s="3" t="n">
        <v>0.234138660785449</v>
      </c>
      <c r="O52" s="3" t="n">
        <v>0.0353748663398087</v>
      </c>
      <c r="P52" s="3" t="n">
        <v>0.00659181539980786</v>
      </c>
      <c r="Q52" s="3" t="n">
        <v>0.0195339909905188</v>
      </c>
      <c r="R52" s="3" t="n">
        <v>0.167302934987846</v>
      </c>
      <c r="S52" s="3" t="n">
        <v>0.0180490076380053</v>
      </c>
      <c r="T52" s="3" t="n">
        <v>0.170869392352874</v>
      </c>
      <c r="U52" s="3" t="n">
        <v>0.02818434832699</v>
      </c>
      <c r="V52" s="3" t="n">
        <v>0.0992713070008111</v>
      </c>
      <c r="W52" s="3" t="n">
        <v>0.0148861571645472</v>
      </c>
      <c r="X52" s="4" t="n">
        <v>-0.0042</v>
      </c>
      <c r="Y52" s="4" t="n">
        <v>-0.0005999999999999999</v>
      </c>
      <c r="Z52" s="4" t="n">
        <v>-0.0004</v>
      </c>
      <c r="AA52" s="4" t="n">
        <v>-0.0041</v>
      </c>
      <c r="AB52" s="4" t="n">
        <v>-0.0126</v>
      </c>
      <c r="AC52" s="4" t="n">
        <v>-0.0005999999999999999</v>
      </c>
      <c r="AD52" s="4" t="n">
        <v>-0.0003</v>
      </c>
      <c r="AE52" s="4" t="n">
        <v>-0.0009</v>
      </c>
      <c r="AF52" s="4" t="n">
        <v>-0.0055</v>
      </c>
      <c r="AG52" s="4" t="n">
        <v>-0.0005</v>
      </c>
      <c r="AH52" s="4" t="n">
        <v>-0.0023</v>
      </c>
      <c r="AI52" s="4" t="n">
        <v>-0.0008</v>
      </c>
      <c r="AJ52" s="4" t="n">
        <v>-0.0048</v>
      </c>
      <c r="AK52" s="4" t="n">
        <v>-0.0009</v>
      </c>
      <c r="AL52" s="4">
        <f>SUM(X52:AK52)</f>
        <v/>
      </c>
      <c r="AM52" s="4">
        <f>+AL52-B52</f>
        <v/>
      </c>
    </row>
    <row r="53">
      <c r="A53" s="16" t="n">
        <v>45016</v>
      </c>
      <c r="B53" s="15" t="n">
        <v>0.04035519931</v>
      </c>
      <c r="C53" s="11">
        <f>+B53-$E$1/12</f>
        <v/>
      </c>
      <c r="D53" t="n">
        <v>0.0333</v>
      </c>
      <c r="E53" t="n">
        <v>0.0264</v>
      </c>
      <c r="F53" t="n">
        <v>0.0371</v>
      </c>
      <c r="G53" t="n">
        <v>0.0299</v>
      </c>
      <c r="H53" t="n">
        <v>0.0306</v>
      </c>
      <c r="I53" t="n">
        <v>0.0313</v>
      </c>
      <c r="J53" s="3" t="n">
        <v>0.0825495242539543</v>
      </c>
      <c r="K53" s="3" t="n">
        <v>0.0214251780345944</v>
      </c>
      <c r="L53" s="3" t="n">
        <v>0.0539951227286907</v>
      </c>
      <c r="M53" s="3" t="n">
        <v>0.0585177346616621</v>
      </c>
      <c r="N53" s="3" t="n">
        <v>0.169675879334218</v>
      </c>
      <c r="O53" s="3" t="n">
        <v>0.0831554322335704</v>
      </c>
      <c r="P53" s="3" t="n">
        <v>0.022023134325768</v>
      </c>
      <c r="Q53" s="3" t="n">
        <v>0.0603480852806967</v>
      </c>
      <c r="R53" s="3" t="n">
        <v>0.101900915749436</v>
      </c>
      <c r="S53" s="3" t="n">
        <v>0.0492127298512487</v>
      </c>
      <c r="T53" s="3" t="n">
        <v>0.105649962221378</v>
      </c>
      <c r="U53" s="3" t="n">
        <v>0.0675019178296774</v>
      </c>
      <c r="V53" s="3" t="n">
        <v>0.0834823809396322</v>
      </c>
      <c r="W53" s="3" t="n">
        <v>0.0405620025554712</v>
      </c>
      <c r="X53" s="4" t="n">
        <v>0.0002</v>
      </c>
      <c r="Y53" s="4" t="n">
        <v>0.0004</v>
      </c>
      <c r="Z53" s="4" t="n">
        <v>0.0012</v>
      </c>
      <c r="AA53" s="4" t="n">
        <v>0.0028</v>
      </c>
      <c r="AB53" s="4" t="n">
        <v>0.0137</v>
      </c>
      <c r="AC53" s="4" t="n">
        <v>0.0023</v>
      </c>
      <c r="AD53" s="4" t="n">
        <v>-0.0003</v>
      </c>
      <c r="AE53" s="4" t="n">
        <v>0.0028</v>
      </c>
      <c r="AF53" s="4" t="n">
        <v>0.0033</v>
      </c>
      <c r="AG53" s="4" t="n">
        <v>0.0019</v>
      </c>
      <c r="AH53" s="4" t="n">
        <v>0.0028</v>
      </c>
      <c r="AI53" s="4" t="n">
        <v>0.002</v>
      </c>
      <c r="AJ53" s="4" t="n">
        <v>0.0039</v>
      </c>
      <c r="AK53" s="4" t="n">
        <v>-0.0005</v>
      </c>
      <c r="AL53" s="4">
        <f>SUM(X53:AK53)</f>
        <v/>
      </c>
      <c r="AM53" s="4">
        <f>+AL53-B53</f>
        <v/>
      </c>
    </row>
    <row r="54">
      <c r="A54" s="16" t="n">
        <v>45046</v>
      </c>
      <c r="B54" s="15" t="n">
        <v>0.00717598478</v>
      </c>
      <c r="C54" s="11">
        <f>+B54-$E$1/12</f>
        <v/>
      </c>
      <c r="D54" t="n">
        <v>0.0157</v>
      </c>
      <c r="E54" t="n">
        <v>0.0057</v>
      </c>
      <c r="F54" t="n">
        <v>0.016</v>
      </c>
      <c r="G54" t="n">
        <v>0.0107</v>
      </c>
      <c r="H54" t="n">
        <v>0.0117</v>
      </c>
      <c r="I54" t="n">
        <v>0.0127</v>
      </c>
      <c r="J54" s="3" t="n">
        <v>0.08996732598702641</v>
      </c>
      <c r="K54" s="3" t="n">
        <v>0.0212795188685908</v>
      </c>
      <c r="L54" s="3" t="n">
        <v>0.0573797306917795</v>
      </c>
      <c r="M54" s="3" t="n">
        <v>0.0569069385512875</v>
      </c>
      <c r="N54" s="3" t="n">
        <v>0.147351836235869</v>
      </c>
      <c r="O54" s="3" t="n">
        <v>0.0907144087408429</v>
      </c>
      <c r="P54" s="3" t="n">
        <v>0.0214272397398435</v>
      </c>
      <c r="Q54" s="3" t="n">
        <v>0.06381595135445139</v>
      </c>
      <c r="R54" s="3" t="n">
        <v>0.0839064937856111</v>
      </c>
      <c r="S54" s="3" t="n">
        <v>0.0580117258438253</v>
      </c>
      <c r="T54" s="3" t="n">
        <v>0.0928186232554269</v>
      </c>
      <c r="U54" s="3" t="n">
        <v>0.08479282007654269</v>
      </c>
      <c r="V54" s="3" t="n">
        <v>0.0908283627245879</v>
      </c>
      <c r="W54" s="3" t="n">
        <v>0.0407990241443139</v>
      </c>
      <c r="X54" s="4" t="n">
        <v>-0.0008</v>
      </c>
      <c r="Y54" s="4" t="n">
        <v>-0.0002</v>
      </c>
      <c r="Z54" s="4" t="n">
        <v>0.0024</v>
      </c>
      <c r="AA54" s="4" t="n">
        <v>-0.0001</v>
      </c>
      <c r="AB54" s="4" t="n">
        <v>0.0015</v>
      </c>
      <c r="AC54" s="4" t="n">
        <v>0.0002</v>
      </c>
      <c r="AD54" s="4" t="n">
        <v>0.0009</v>
      </c>
      <c r="AE54" s="4" t="n">
        <v>0.0002</v>
      </c>
      <c r="AF54" s="4" t="n">
        <v>0.0008</v>
      </c>
      <c r="AG54" s="4" t="n">
        <v>0.0009</v>
      </c>
      <c r="AH54" s="4" t="n">
        <v>0.0001</v>
      </c>
      <c r="AI54" s="4" t="n">
        <v>0.0004</v>
      </c>
      <c r="AJ54" s="4" t="n">
        <v>0.0003</v>
      </c>
      <c r="AK54" s="4" t="n">
        <v>0.0004</v>
      </c>
      <c r="AL54" s="4">
        <f>SUM(X54:AK54)</f>
        <v/>
      </c>
      <c r="AM54" s="4">
        <f>+AL54-B54</f>
        <v/>
      </c>
    </row>
    <row r="55">
      <c r="A55" s="16" t="n">
        <v>45077</v>
      </c>
      <c r="B55" s="15" t="n">
        <v>-0.02071478425</v>
      </c>
      <c r="C55" s="11">
        <f>+B55-$E$1/12</f>
        <v/>
      </c>
      <c r="D55" t="n">
        <v>-0.0105</v>
      </c>
      <c r="E55" t="n">
        <v>-0.0114</v>
      </c>
      <c r="F55" t="n">
        <v>0.0046</v>
      </c>
      <c r="G55" t="n">
        <v>-0.0109</v>
      </c>
      <c r="H55" t="n">
        <v>-0.0109</v>
      </c>
      <c r="I55" t="n">
        <v>-0.0108</v>
      </c>
      <c r="J55" s="3" t="n">
        <v>0.08369753294550181</v>
      </c>
      <c r="K55" s="3" t="n">
        <v>0.0210791505200836</v>
      </c>
      <c r="L55" s="3" t="n">
        <v>0.0607932582535127</v>
      </c>
      <c r="M55" s="3" t="n">
        <v>0.0567838928564516</v>
      </c>
      <c r="N55" s="3" t="n">
        <v>0.136121986660808</v>
      </c>
      <c r="O55" s="3" t="n">
        <v>0.0966352271958804</v>
      </c>
      <c r="P55" s="3" t="n">
        <v>0.0222727547183609</v>
      </c>
      <c r="Q55" s="3" t="n">
        <v>0.0669294914676526</v>
      </c>
      <c r="R55" s="3" t="n">
        <v>0.0810122092794016</v>
      </c>
      <c r="S55" s="3" t="n">
        <v>0.0530644022500433</v>
      </c>
      <c r="T55" s="3" t="n">
        <v>0.0884365072579372</v>
      </c>
      <c r="U55" s="3" t="n">
        <v>0.0920705739634415</v>
      </c>
      <c r="V55" s="3" t="n">
        <v>0.09548888331274021</v>
      </c>
      <c r="W55" s="3" t="n">
        <v>0.0456141293181836</v>
      </c>
      <c r="X55" s="4" t="n">
        <v>-0.0055</v>
      </c>
      <c r="Y55" s="4" t="n">
        <v>-0.0005</v>
      </c>
      <c r="Z55" s="4" t="n">
        <v>-0.0032</v>
      </c>
      <c r="AA55" s="4" t="n">
        <v>-0.0015</v>
      </c>
      <c r="AB55" s="4" t="n">
        <v>-0.0019</v>
      </c>
      <c r="AC55" s="4" t="n">
        <v>0.0002</v>
      </c>
      <c r="AD55" s="4" t="n">
        <v>-0.0016</v>
      </c>
      <c r="AE55" s="4" t="n">
        <v>0.0005</v>
      </c>
      <c r="AF55" s="4" t="n">
        <v>-0.0012</v>
      </c>
      <c r="AG55" s="4" t="n">
        <v>0.0002</v>
      </c>
      <c r="AH55" s="4" t="n">
        <v>-0.0011</v>
      </c>
      <c r="AI55" s="4" t="n">
        <v>-0.001</v>
      </c>
      <c r="AJ55" s="4" t="n">
        <v>-0.0027</v>
      </c>
      <c r="AK55" s="4" t="n">
        <v>-0.0018</v>
      </c>
      <c r="AL55" s="4">
        <f>SUM(X55:AK55)</f>
        <v/>
      </c>
      <c r="AM55" s="4">
        <f>+AL55-B55</f>
        <v/>
      </c>
    </row>
    <row r="56">
      <c r="A56" s="16" t="n">
        <v>45107</v>
      </c>
      <c r="B56" s="15" t="n">
        <v>0.00702672701</v>
      </c>
      <c r="C56" s="11">
        <f>+B56-$E$1/12</f>
        <v/>
      </c>
      <c r="D56" t="n">
        <v>0.0579</v>
      </c>
      <c r="E56" t="n">
        <v>-0.0037</v>
      </c>
      <c r="F56" t="n">
        <v>0.0648</v>
      </c>
      <c r="G56" t="n">
        <v>0.0271</v>
      </c>
      <c r="H56" t="n">
        <v>0.0333</v>
      </c>
      <c r="I56" t="n">
        <v>0.0394</v>
      </c>
      <c r="J56" s="3" t="n">
        <v>0.102300924155172</v>
      </c>
      <c r="K56" s="3" t="n">
        <v>0.0113643640275151</v>
      </c>
      <c r="L56" s="3" t="n">
        <v>0.0345329178078268</v>
      </c>
      <c r="M56" s="3" t="n">
        <v>0.0903124873034131</v>
      </c>
      <c r="N56" s="3" t="n">
        <v>0.170425610058169</v>
      </c>
      <c r="O56" s="3" t="n">
        <v>0.0718115340575279</v>
      </c>
      <c r="P56" s="3" t="n">
        <v>0.0118905565384887</v>
      </c>
      <c r="Q56" s="3" t="n">
        <v>0.0410785180924321</v>
      </c>
      <c r="R56" s="3" t="n">
        <v>0.11265246812424</v>
      </c>
      <c r="S56" s="3" t="n">
        <v>0.0356956851718404</v>
      </c>
      <c r="T56" s="3" t="n">
        <v>0.134905794577087</v>
      </c>
      <c r="U56" s="3" t="n">
        <v>0.0612051981730591</v>
      </c>
      <c r="V56" s="3" t="n">
        <v>0.0964950072682319</v>
      </c>
      <c r="W56" s="3" t="n">
        <v>0.0253289346449938</v>
      </c>
      <c r="X56" s="4" t="n">
        <v>0.0026</v>
      </c>
      <c r="Y56" s="4" t="n">
        <v>0.0007</v>
      </c>
      <c r="Z56" s="4" t="n">
        <v>0.0018</v>
      </c>
      <c r="AA56" s="4" t="n">
        <v>0.0004</v>
      </c>
      <c r="AB56" s="4" t="n">
        <v>-0.004</v>
      </c>
      <c r="AC56" s="4" t="n">
        <v>0</v>
      </c>
      <c r="AD56" s="4" t="n">
        <v>-0.0001</v>
      </c>
      <c r="AE56" s="4" t="n">
        <v>0.0027</v>
      </c>
      <c r="AF56" s="4" t="n">
        <v>-0.0015</v>
      </c>
      <c r="AG56" s="4" t="n">
        <v>0.0025</v>
      </c>
      <c r="AH56" s="4" t="n">
        <v>-0.0005</v>
      </c>
      <c r="AI56" s="4" t="n">
        <v>-0.0001</v>
      </c>
      <c r="AJ56" s="4" t="n">
        <v>0.0002</v>
      </c>
      <c r="AK56" s="4" t="n">
        <v>0.0015</v>
      </c>
      <c r="AL56" s="4">
        <f>SUM(X56:AK56)</f>
        <v/>
      </c>
      <c r="AM56" s="4">
        <f>+AL56-B56</f>
        <v/>
      </c>
    </row>
    <row r="57">
      <c r="A57" s="16" t="n">
        <v>45138</v>
      </c>
      <c r="B57" s="15" t="n">
        <v>0.01443809546</v>
      </c>
      <c r="C57" s="11">
        <f>+B57-$E$1/12</f>
        <v/>
      </c>
      <c r="D57" t="n">
        <v>0.036</v>
      </c>
      <c r="E57" t="n">
        <v>-0.0002</v>
      </c>
      <c r="F57" t="n">
        <v>0.0327</v>
      </c>
      <c r="G57" t="n">
        <v>0.0179</v>
      </c>
      <c r="H57" t="n">
        <v>0.0215</v>
      </c>
      <c r="I57" t="n">
        <v>0.0251</v>
      </c>
      <c r="J57" s="3" t="n">
        <v>0.0657591074614515</v>
      </c>
      <c r="K57" s="3" t="n">
        <v>0.0161493660078248</v>
      </c>
      <c r="L57" s="3" t="n">
        <v>0.0532260549949314</v>
      </c>
      <c r="M57" s="3" t="n">
        <v>0.058402980981959</v>
      </c>
      <c r="N57" s="3" t="n">
        <v>0.145193511298714</v>
      </c>
      <c r="O57" s="3" t="n">
        <v>0.117272985971181</v>
      </c>
      <c r="P57" s="3" t="n">
        <v>0.0165995482608297</v>
      </c>
      <c r="Q57" s="3" t="n">
        <v>0.0499739541166051</v>
      </c>
      <c r="R57" s="3" t="n">
        <v>0.0853284587300718</v>
      </c>
      <c r="S57" s="3" t="n">
        <v>0.0634523029508651</v>
      </c>
      <c r="T57" s="3" t="n">
        <v>0.104218353701642</v>
      </c>
      <c r="U57" s="3" t="n">
        <v>0.0901517296734574</v>
      </c>
      <c r="V57" s="3" t="n">
        <v>0.08643426232219049</v>
      </c>
      <c r="W57" s="3" t="n">
        <v>0.0478373835282744</v>
      </c>
      <c r="X57" s="4" t="n">
        <v>0.0057</v>
      </c>
      <c r="Y57" s="4" t="n">
        <v>0.0009</v>
      </c>
      <c r="Z57" s="4" t="n">
        <v>0.0014</v>
      </c>
      <c r="AA57" s="4" t="n">
        <v>0.0005</v>
      </c>
      <c r="AB57" s="4" t="n">
        <v>0.0034</v>
      </c>
      <c r="AC57" s="4" t="n">
        <v>0</v>
      </c>
      <c r="AD57" s="4" t="n">
        <v>0.001</v>
      </c>
      <c r="AE57" s="4" t="n">
        <v>0.0012</v>
      </c>
      <c r="AF57" s="4" t="n">
        <v>-0.0005999999999999999</v>
      </c>
      <c r="AG57" s="4" t="n">
        <v>0.002</v>
      </c>
      <c r="AH57" s="4" t="n">
        <v>0</v>
      </c>
      <c r="AI57" s="4" t="n">
        <v>0</v>
      </c>
      <c r="AJ57" s="4" t="n">
        <v>-0.0022</v>
      </c>
      <c r="AK57" s="4" t="n">
        <v>0.0007</v>
      </c>
      <c r="AL57" s="4">
        <f>SUM(X57:AK57)</f>
        <v/>
      </c>
      <c r="AM57" s="4">
        <f>+AL57-B57</f>
        <v/>
      </c>
    </row>
    <row r="58">
      <c r="A58" s="16" t="n">
        <v>45169</v>
      </c>
      <c r="B58" s="15" t="n">
        <v>-0.01495537775</v>
      </c>
      <c r="C58" s="11">
        <f>+B58-$E$1/12</f>
        <v/>
      </c>
      <c r="D58" t="n">
        <v>-0.0291</v>
      </c>
      <c r="E58" t="n">
        <v>-0.0063</v>
      </c>
      <c r="F58" t="n">
        <v>-0.0163</v>
      </c>
      <c r="G58" t="n">
        <v>-0.0177</v>
      </c>
      <c r="H58" t="n">
        <v>-0.02</v>
      </c>
      <c r="I58" t="n">
        <v>-0.0222</v>
      </c>
      <c r="J58" s="3" t="n">
        <v>0.07042645738430239</v>
      </c>
      <c r="K58" s="3" t="n">
        <v>0.0158042389242794</v>
      </c>
      <c r="L58" s="3" t="n">
        <v>0.0492200714761566</v>
      </c>
      <c r="M58" s="3" t="n">
        <v>0.0574853678379453</v>
      </c>
      <c r="N58" s="3" t="n">
        <v>0.159098551099383</v>
      </c>
      <c r="O58" s="3" t="n">
        <v>0.10065611454411</v>
      </c>
      <c r="P58" s="3" t="n">
        <v>0.0167085893622729</v>
      </c>
      <c r="Q58" s="3" t="n">
        <v>0.0526764472528082</v>
      </c>
      <c r="R58" s="3" t="n">
        <v>0.0863599582418586</v>
      </c>
      <c r="S58" s="3" t="n">
        <v>0.0698837675831884</v>
      </c>
      <c r="T58" s="3" t="n">
        <v>0.10242428919753</v>
      </c>
      <c r="U58" s="3" t="n">
        <v>0.077026865315333</v>
      </c>
      <c r="V58" s="3" t="n">
        <v>0.0870389350628053</v>
      </c>
      <c r="W58" s="3" t="n">
        <v>0.055190346718024</v>
      </c>
      <c r="X58" s="4" t="n">
        <v>-0.0002</v>
      </c>
      <c r="Y58" s="4" t="n">
        <v>-0.0011</v>
      </c>
      <c r="Z58" s="4" t="n">
        <v>-0.0019</v>
      </c>
      <c r="AA58" s="4" t="n">
        <v>-0.0014</v>
      </c>
      <c r="AB58" s="4" t="n">
        <v>-0.0019</v>
      </c>
      <c r="AC58" s="4" t="n">
        <v>0.0002</v>
      </c>
      <c r="AD58" s="4" t="n">
        <v>-0.0007</v>
      </c>
      <c r="AE58" s="4" t="n">
        <v>-0.0014</v>
      </c>
      <c r="AF58" s="4" t="n">
        <v>-0.0005999999999999999</v>
      </c>
      <c r="AG58" s="4" t="n">
        <v>-0.0011</v>
      </c>
      <c r="AH58" s="4" t="n">
        <v>-0.0008</v>
      </c>
      <c r="AI58" s="4" t="n">
        <v>-0.0005999999999999999</v>
      </c>
      <c r="AJ58" s="4" t="n">
        <v>-0.0027</v>
      </c>
      <c r="AK58" s="4" t="n">
        <v>-0.0017</v>
      </c>
      <c r="AL58" s="4">
        <f>SUM(X58:AK58)</f>
        <v/>
      </c>
      <c r="AM58" s="4">
        <f>+AL58-B58</f>
        <v/>
      </c>
    </row>
    <row r="59" ht="14.25" customHeight="1">
      <c r="A59" s="16" t="n">
        <v>45199</v>
      </c>
      <c r="B59" s="15" t="n">
        <v>-0.03391114845</v>
      </c>
      <c r="C59" s="11">
        <f>+B59-$E$1/12</f>
        <v/>
      </c>
      <c r="D59" t="n">
        <v>-0.0428</v>
      </c>
      <c r="E59" t="n">
        <v>-0.0259</v>
      </c>
      <c r="F59" t="n">
        <v>-0.0474</v>
      </c>
      <c r="G59" t="n">
        <v>-0.0343</v>
      </c>
      <c r="H59" t="n">
        <v>-0.036</v>
      </c>
      <c r="I59" t="n">
        <v>-0.0377</v>
      </c>
      <c r="J59" s="3" t="n">
        <v>0.0826048546546158</v>
      </c>
      <c r="K59" s="3" t="n">
        <v>0.0169358917235622</v>
      </c>
      <c r="L59" s="3" t="n">
        <v>0.0467716623001622</v>
      </c>
      <c r="M59" s="3" t="n">
        <v>0.061677957182494</v>
      </c>
      <c r="N59" s="3" t="n">
        <v>0.180494599470708</v>
      </c>
      <c r="O59" s="3" t="n">
        <v>0.0954897467718126</v>
      </c>
      <c r="P59" s="3" t="n">
        <v>0.0177780607005056</v>
      </c>
      <c r="Q59" s="3" t="n">
        <v>0.0435010053897554</v>
      </c>
      <c r="R59" s="3" t="n">
        <v>0.086495229853431</v>
      </c>
      <c r="S59" s="3" t="n">
        <v>0.06452702194317</v>
      </c>
      <c r="T59" s="3" t="n">
        <v>0.09952747501416249</v>
      </c>
      <c r="U59" s="3" t="n">
        <v>0.0657150400213594</v>
      </c>
      <c r="V59" s="3" t="n">
        <v>0.0767788152389287</v>
      </c>
      <c r="W59" s="3" t="n">
        <v>0.0617026397353321</v>
      </c>
      <c r="X59" s="4" t="n">
        <v>0.0011</v>
      </c>
      <c r="Y59" s="4" t="n">
        <v>-0.0005</v>
      </c>
      <c r="Z59" s="4" t="n">
        <v>-0.002</v>
      </c>
      <c r="AA59" s="4" t="n">
        <v>-0.0025</v>
      </c>
      <c r="AB59" s="4" t="n">
        <v>-0.008800000000000001</v>
      </c>
      <c r="AC59" s="4" t="n">
        <v>-0.0017</v>
      </c>
      <c r="AD59" s="4" t="n">
        <v>-0.0009</v>
      </c>
      <c r="AE59" s="4" t="n">
        <v>-0.0009</v>
      </c>
      <c r="AF59" s="4" t="n">
        <v>-0.0027</v>
      </c>
      <c r="AG59" s="4" t="n">
        <v>-0.0031</v>
      </c>
      <c r="AH59" s="4" t="n">
        <v>-0.0019</v>
      </c>
      <c r="AI59" s="4" t="n">
        <v>-0.0018</v>
      </c>
      <c r="AJ59" s="4" t="n">
        <v>-0.0064</v>
      </c>
      <c r="AK59" s="4" t="n">
        <v>-0.0046</v>
      </c>
      <c r="AL59" s="4">
        <f>SUM(X59:AK59)</f>
        <v/>
      </c>
      <c r="AM59" s="4">
        <f>+AL59-B59</f>
        <v/>
      </c>
    </row>
    <row r="60">
      <c r="A60" s="16" t="n">
        <v>45230</v>
      </c>
      <c r="B60" s="15" t="n">
        <v>-0.00123931271</v>
      </c>
      <c r="C60" s="11">
        <f>+B60-$E$1/12</f>
        <v/>
      </c>
      <c r="D60" t="n">
        <v>-0.0254</v>
      </c>
      <c r="E60" t="n">
        <v>-0.0157</v>
      </c>
      <c r="F60" t="n">
        <v>-0.0217</v>
      </c>
      <c r="G60" t="n">
        <v>-0.0206</v>
      </c>
      <c r="H60" t="n">
        <v>-0.0215</v>
      </c>
      <c r="I60" t="n">
        <v>-0.0225</v>
      </c>
      <c r="J60" s="3" t="n">
        <v>0.108265785356897</v>
      </c>
      <c r="K60" s="3" t="n">
        <v>0.0173901915305577</v>
      </c>
      <c r="L60" s="3" t="n">
        <v>0.046306049775983</v>
      </c>
      <c r="M60" s="3" t="n">
        <v>0.0624928481756534</v>
      </c>
      <c r="N60" s="3" t="n">
        <v>0.19294414173845</v>
      </c>
      <c r="O60" s="3" t="n">
        <v>0.0849623810452259</v>
      </c>
      <c r="P60" s="3" t="n">
        <v>0.0201605560725592</v>
      </c>
      <c r="Q60" s="3" t="n">
        <v>0.050530338055884</v>
      </c>
      <c r="R60" s="3" t="n">
        <v>0.0859481733360042</v>
      </c>
      <c r="S60" s="3" t="n">
        <v>0.059991790492948</v>
      </c>
      <c r="T60" s="3" t="n">
        <v>0.0927955978200608</v>
      </c>
      <c r="U60" s="3" t="n">
        <v>0.0589778910706348</v>
      </c>
      <c r="V60" s="3" t="n">
        <v>0.0690111379014358</v>
      </c>
      <c r="W60" s="3" t="n">
        <v>0.0502231176277049</v>
      </c>
      <c r="X60" s="4" t="n">
        <v>-0.0018</v>
      </c>
      <c r="Y60" s="4" t="n">
        <v>-0.0005999999999999999</v>
      </c>
      <c r="Z60" s="4" t="n">
        <v>-0.0014</v>
      </c>
      <c r="AA60" s="4" t="n">
        <v>-0.0009</v>
      </c>
      <c r="AB60" s="4" t="n">
        <v>0.0146</v>
      </c>
      <c r="AC60" s="4" t="n">
        <v>-0.0002</v>
      </c>
      <c r="AD60" s="4" t="n">
        <v>-0.0007</v>
      </c>
      <c r="AE60" s="4" t="n">
        <v>-0.0011</v>
      </c>
      <c r="AF60" s="4" t="n">
        <v>-0.0016</v>
      </c>
      <c r="AG60" s="4" t="n">
        <v>-0.0013</v>
      </c>
      <c r="AH60" s="4" t="n">
        <v>-0.0007</v>
      </c>
      <c r="AI60" s="4" t="n">
        <v>-0.001</v>
      </c>
      <c r="AJ60" s="4" t="n">
        <v>-0.0038</v>
      </c>
      <c r="AK60" s="4" t="n">
        <v>-0.002</v>
      </c>
      <c r="AL60" s="4">
        <f>SUM(X60:AK60)</f>
        <v/>
      </c>
      <c r="AM60" s="4">
        <f>+AL60-B60</f>
        <v/>
      </c>
    </row>
    <row r="61">
      <c r="A61" s="16" t="n">
        <v>45260</v>
      </c>
      <c r="B61" s="15" t="n">
        <v>0.05183098672</v>
      </c>
      <c r="C61" s="11">
        <f>+B61-$E$1/12</f>
        <v/>
      </c>
      <c r="D61" t="n">
        <v>0.08890000000000001</v>
      </c>
      <c r="E61" t="n">
        <v>0.0459</v>
      </c>
      <c r="F61" t="n">
        <v>0.09130000000000001</v>
      </c>
      <c r="G61" t="n">
        <v>0.0674</v>
      </c>
      <c r="H61" t="n">
        <v>0.0717</v>
      </c>
      <c r="I61" t="n">
        <v>0.076</v>
      </c>
      <c r="J61" s="3" t="n">
        <v>0.08932481335075659</v>
      </c>
      <c r="K61" s="3" t="n">
        <v>0.032136428594351</v>
      </c>
      <c r="L61" s="3" t="n">
        <v>0.0826190672281663</v>
      </c>
      <c r="M61" s="3" t="n">
        <v>0.038183199369008</v>
      </c>
      <c r="N61" s="3" t="n">
        <v>0.12087663084932</v>
      </c>
      <c r="O61" s="3" t="n">
        <v>0.131542245976688</v>
      </c>
      <c r="P61" s="3" t="n">
        <v>0.0337776122463208</v>
      </c>
      <c r="Q61" s="3" t="n">
        <v>0.08252214929600429</v>
      </c>
      <c r="R61" s="3" t="n">
        <v>0.040686094303289</v>
      </c>
      <c r="S61" s="3" t="n">
        <v>0.08936983492897869</v>
      </c>
      <c r="T61" s="3" t="n">
        <v>0.0489617383071725</v>
      </c>
      <c r="U61" s="3" t="n">
        <v>0.096385808247595</v>
      </c>
      <c r="V61" s="3" t="n">
        <v>0.0538053688326492</v>
      </c>
      <c r="W61" s="3" t="n">
        <v>0.0598090084696991</v>
      </c>
      <c r="X61" s="4" t="n">
        <v>-0.0021</v>
      </c>
      <c r="Y61" s="4" t="n">
        <v>0.0023</v>
      </c>
      <c r="Z61" s="4" t="n">
        <v>0.0074</v>
      </c>
      <c r="AA61" s="4" t="n">
        <v>0.0024</v>
      </c>
      <c r="AB61" s="4" t="n">
        <v>0.0027</v>
      </c>
      <c r="AC61" s="4" t="n">
        <v>0.0042</v>
      </c>
      <c r="AD61" s="4" t="n">
        <v>0.0031</v>
      </c>
      <c r="AE61" s="4" t="n">
        <v>0.0044</v>
      </c>
      <c r="AF61" s="4" t="n">
        <v>0.0023</v>
      </c>
      <c r="AG61" s="4" t="n">
        <v>0.0077</v>
      </c>
      <c r="AH61" s="4" t="n">
        <v>0.0017</v>
      </c>
      <c r="AI61" s="4" t="n">
        <v>0.0039</v>
      </c>
      <c r="AJ61" s="4" t="n">
        <v>0.0055</v>
      </c>
      <c r="AK61" s="4" t="n">
        <v>0.0071</v>
      </c>
      <c r="AL61" s="4">
        <f>SUM(X61:AK61)</f>
        <v/>
      </c>
      <c r="AM61" s="4">
        <f>+AL61-B61</f>
        <v/>
      </c>
    </row>
    <row r="62">
      <c r="A62" s="16" t="n">
        <v>45291</v>
      </c>
      <c r="B62" s="15" t="n">
        <v>0.03044490094</v>
      </c>
      <c r="C62" s="11">
        <f>+B62-$E$1/12</f>
        <v/>
      </c>
      <c r="D62" t="n">
        <v>0.0483</v>
      </c>
      <c r="E62" t="n">
        <v>0.0369</v>
      </c>
      <c r="F62" t="n">
        <v>0.0457</v>
      </c>
      <c r="G62" t="n">
        <v>0.0426</v>
      </c>
      <c r="H62" t="n">
        <v>0.0437</v>
      </c>
      <c r="I62" t="n">
        <v>0.0449</v>
      </c>
      <c r="J62" s="3" t="n">
        <v>0.09426123683218229</v>
      </c>
      <c r="K62" s="3" t="n">
        <v>0.0210925415100251</v>
      </c>
      <c r="L62" s="3" t="n">
        <v>0.0537244616161872</v>
      </c>
      <c r="M62" s="3" t="n">
        <v>0.07388068289991311</v>
      </c>
      <c r="N62" s="3" t="n">
        <v>0.188549252365706</v>
      </c>
      <c r="O62" s="3" t="n">
        <v>0.0773575552275215</v>
      </c>
      <c r="P62" s="3" t="n">
        <v>0.0169588668736704</v>
      </c>
      <c r="Q62" s="3" t="n">
        <v>0.0559491274898481</v>
      </c>
      <c r="R62" s="3" t="n">
        <v>0.0914805131662141</v>
      </c>
      <c r="S62" s="3" t="n">
        <v>0.060855901304753</v>
      </c>
      <c r="T62" s="3" t="n">
        <v>0.109402774655451</v>
      </c>
      <c r="U62" s="3" t="n">
        <v>0.0588502902370567</v>
      </c>
      <c r="V62" s="3" t="n">
        <v>0.0654272501700832</v>
      </c>
      <c r="W62" s="3" t="n">
        <v>0.0322095456513868</v>
      </c>
      <c r="X62" s="4" t="n">
        <v>-0.0031</v>
      </c>
      <c r="Y62" s="4" t="n">
        <v>0.0008</v>
      </c>
      <c r="Z62" s="4" t="n">
        <v>0.003</v>
      </c>
      <c r="AA62" s="4" t="n">
        <v>0.0032</v>
      </c>
      <c r="AB62" s="4" t="n">
        <v>0.0012</v>
      </c>
      <c r="AC62" s="4" t="n">
        <v>0.0028</v>
      </c>
      <c r="AD62" s="4" t="n">
        <v>0.0017</v>
      </c>
      <c r="AE62" s="4" t="n">
        <v>0.0024</v>
      </c>
      <c r="AF62" s="4" t="n">
        <v>0.003</v>
      </c>
      <c r="AG62" s="4" t="n">
        <v>0.003</v>
      </c>
      <c r="AH62" s="4" t="n">
        <v>0.0024</v>
      </c>
      <c r="AI62" s="4" t="n">
        <v>0.0025</v>
      </c>
      <c r="AJ62" s="4" t="n">
        <v>0.0054</v>
      </c>
      <c r="AK62" s="4" t="n">
        <v>0.0036</v>
      </c>
      <c r="AL62" s="4">
        <f>SUM(X62:AK62)</f>
        <v/>
      </c>
      <c r="AM62" s="4">
        <f>+AL62-B62</f>
        <v/>
      </c>
    </row>
    <row r="63">
      <c r="A63" s="16" t="n">
        <v>45322</v>
      </c>
      <c r="B63" s="15" t="n">
        <v>-0.00351235157</v>
      </c>
      <c r="C63" s="11">
        <f>+B63-$E$1/12</f>
        <v/>
      </c>
      <c r="D63" t="n">
        <v>0.0028</v>
      </c>
      <c r="E63" t="n">
        <v>-0.0015</v>
      </c>
      <c r="F63" t="n">
        <v>0.0159</v>
      </c>
      <c r="G63" t="n">
        <v>0.0005999999999999999</v>
      </c>
      <c r="H63" t="n">
        <v>0.001</v>
      </c>
      <c r="I63" t="n">
        <v>0.0015</v>
      </c>
      <c r="J63" s="3" t="n">
        <v>0.08672192054604951</v>
      </c>
      <c r="K63" s="3" t="n">
        <v>0.0221833209377991</v>
      </c>
      <c r="L63" s="3" t="n">
        <v>0.0606706187414141</v>
      </c>
      <c r="M63" s="3" t="n">
        <v>0.06883049844523111</v>
      </c>
      <c r="N63" s="3" t="n">
        <v>0.164400783144294</v>
      </c>
      <c r="O63" s="3" t="n">
        <v>0.0807084332595501</v>
      </c>
      <c r="P63" s="3" t="n">
        <v>0.0163662593558435</v>
      </c>
      <c r="Q63" s="3" t="n">
        <v>0.0634192446863507</v>
      </c>
      <c r="R63" s="3" t="n">
        <v>0.0893199438461191</v>
      </c>
      <c r="S63" s="3" t="n">
        <v>0.07319000654434429</v>
      </c>
      <c r="T63" s="3" t="n">
        <v>0.105809695167147</v>
      </c>
      <c r="U63" s="3" t="n">
        <v>0.0633876422429111</v>
      </c>
      <c r="V63" s="3" t="n">
        <v>0.069730599258935</v>
      </c>
      <c r="W63" s="3" t="n">
        <v>0.0352610338240097</v>
      </c>
      <c r="X63" s="4" t="n">
        <v>0.0012</v>
      </c>
      <c r="Y63" s="4" t="n">
        <v>-0.001</v>
      </c>
      <c r="Z63" s="4" t="n">
        <v>-0.0005</v>
      </c>
      <c r="AA63" s="4" t="n">
        <v>-0.0022</v>
      </c>
      <c r="AB63" s="4" t="n">
        <v>-0.0024</v>
      </c>
      <c r="AC63" s="4" t="n">
        <v>-0.0005</v>
      </c>
      <c r="AD63" s="4" t="n">
        <v>-0.0009</v>
      </c>
      <c r="AE63" s="4" t="n">
        <v>0.0022</v>
      </c>
      <c r="AF63" s="4" t="n">
        <v>0.0001</v>
      </c>
      <c r="AG63" s="4" t="n">
        <v>0.0013</v>
      </c>
      <c r="AH63" s="4" t="n">
        <v>0.0004</v>
      </c>
      <c r="AI63" s="4" t="n">
        <v>-0.0001</v>
      </c>
      <c r="AJ63" s="4" t="n">
        <v>-0.0016</v>
      </c>
      <c r="AK63" s="4" t="n">
        <v>-0.0018</v>
      </c>
      <c r="AL63" s="4">
        <f>SUM(X63:AK63)</f>
        <v/>
      </c>
      <c r="AM63" s="4">
        <f>+AL63-B63</f>
        <v/>
      </c>
    </row>
    <row r="64">
      <c r="A64" s="16" t="n">
        <v>45351</v>
      </c>
      <c r="B64" s="15" t="n">
        <v>0.008313743719999999</v>
      </c>
      <c r="C64" s="11">
        <f>+B64-$E$1/12</f>
        <v/>
      </c>
      <c r="D64" t="n">
        <v>0.0451</v>
      </c>
      <c r="E64" t="n">
        <v>-0.0148</v>
      </c>
      <c r="F64" t="n">
        <v>0.0522</v>
      </c>
      <c r="G64" t="n">
        <v>0.0152</v>
      </c>
      <c r="H64" t="n">
        <v>0.0211</v>
      </c>
      <c r="I64" t="n">
        <v>0.0271</v>
      </c>
      <c r="J64" s="3" t="n">
        <v>0.08098769624435589</v>
      </c>
      <c r="K64" s="3" t="n">
        <v>0.0315966309375309</v>
      </c>
      <c r="L64" s="3" t="n">
        <v>0.0920446541498554</v>
      </c>
      <c r="M64" s="3" t="n">
        <v>0.027320807098485</v>
      </c>
      <c r="N64" s="3" t="n">
        <v>0.111533374777123</v>
      </c>
      <c r="O64" s="3" t="n">
        <v>0.123865892454591</v>
      </c>
      <c r="P64" s="3" t="n">
        <v>0.0221554627035399</v>
      </c>
      <c r="Q64" s="3" t="n">
        <v>0.0899687969669799</v>
      </c>
      <c r="R64" s="3" t="n">
        <v>0.0410388045957294</v>
      </c>
      <c r="S64" s="3" t="n">
        <v>0.115537468371741</v>
      </c>
      <c r="T64" s="3" t="n">
        <v>0.0489647696621631</v>
      </c>
      <c r="U64" s="3" t="n">
        <v>0.0952611914778283</v>
      </c>
      <c r="V64" s="3" t="n">
        <v>0.06535718445065671</v>
      </c>
      <c r="W64" s="3" t="n">
        <v>0.0543672661094186</v>
      </c>
      <c r="X64" s="4" t="n">
        <v>-0.0013</v>
      </c>
      <c r="Y64" s="4" t="n">
        <v>0.0012</v>
      </c>
      <c r="Z64" s="4" t="n">
        <v>0.002</v>
      </c>
      <c r="AA64" s="4" t="n">
        <v>0</v>
      </c>
      <c r="AB64" s="4" t="n">
        <v>0.001</v>
      </c>
      <c r="AC64" s="4" t="n">
        <v>-0.0008</v>
      </c>
      <c r="AD64" s="4" t="n">
        <v>-0.0008</v>
      </c>
      <c r="AE64" s="4" t="n">
        <v>0.0037</v>
      </c>
      <c r="AF64" s="4" t="n">
        <v>-0.0005</v>
      </c>
      <c r="AG64" s="4" t="n">
        <v>0.0055</v>
      </c>
      <c r="AH64" s="4" t="n">
        <v>-0.0004</v>
      </c>
      <c r="AI64" s="4" t="n">
        <v>-0.0016</v>
      </c>
      <c r="AJ64" s="4" t="n">
        <v>-0.0014</v>
      </c>
      <c r="AK64" s="4" t="n">
        <v>0.0008</v>
      </c>
      <c r="AL64" s="4">
        <f>SUM(X64:AK64)</f>
        <v/>
      </c>
      <c r="AM64" s="4">
        <f>+AL64-B64</f>
        <v/>
      </c>
    </row>
    <row r="65">
      <c r="A65" s="16" t="n">
        <v>45382</v>
      </c>
      <c r="B65" s="15" t="n">
        <v>0.02989082682</v>
      </c>
      <c r="C65" s="11">
        <f>+B65-$E$1/12</f>
        <v/>
      </c>
      <c r="D65" t="n">
        <v>0.0326</v>
      </c>
      <c r="E65" t="n">
        <v>0.008999999999999999</v>
      </c>
      <c r="F65" t="n">
        <v>0.0327</v>
      </c>
      <c r="G65" t="n">
        <v>0.0208</v>
      </c>
      <c r="H65" t="n">
        <v>0.0232</v>
      </c>
      <c r="I65" t="n">
        <v>0.0255</v>
      </c>
      <c r="J65" s="3" t="n">
        <v>0.0940274446516407</v>
      </c>
      <c r="K65" s="3" t="n">
        <v>0.0316064139338644</v>
      </c>
      <c r="L65" s="3" t="n">
        <v>0.0893935117764616</v>
      </c>
      <c r="M65" s="3" t="n">
        <v>0.0265026493057589</v>
      </c>
      <c r="N65" s="3" t="n">
        <v>0.0919993973461271</v>
      </c>
      <c r="O65" s="3" t="n">
        <v>0.11855904255618</v>
      </c>
      <c r="P65" s="3" t="n">
        <v>0.0254772486583431</v>
      </c>
      <c r="Q65" s="3" t="n">
        <v>0.10613825862571</v>
      </c>
      <c r="R65" s="3" t="n">
        <v>0.0377722631661254</v>
      </c>
      <c r="S65" s="3" t="n">
        <v>0.115154329022974</v>
      </c>
      <c r="T65" s="3" t="n">
        <v>0.0444038889177867</v>
      </c>
      <c r="U65" s="3" t="n">
        <v>0.0947462432683969</v>
      </c>
      <c r="V65" s="3" t="n">
        <v>0.0626612516903685</v>
      </c>
      <c r="W65" s="3" t="n">
        <v>0.0615580570802602</v>
      </c>
      <c r="X65" s="4" t="n">
        <v>0.0041</v>
      </c>
      <c r="Y65" s="4" t="n">
        <v>0.0009</v>
      </c>
      <c r="Z65" s="4" t="n">
        <v>0.0033</v>
      </c>
      <c r="AA65" s="4" t="n">
        <v>0.0001</v>
      </c>
      <c r="AB65" s="4" t="n">
        <v>0.008200000000000001</v>
      </c>
      <c r="AC65" s="4" t="n">
        <v>0.0013</v>
      </c>
      <c r="AD65" s="4" t="n">
        <v>0.0014</v>
      </c>
      <c r="AE65" s="4" t="n">
        <v>0.0032</v>
      </c>
      <c r="AF65" s="4" t="n">
        <v>0.0003</v>
      </c>
      <c r="AG65" s="4" t="n">
        <v>0.0038</v>
      </c>
      <c r="AH65" s="4" t="n">
        <v>0.0003</v>
      </c>
      <c r="AI65" s="4" t="n">
        <v>0.0008</v>
      </c>
      <c r="AJ65" s="4" t="n">
        <v>0.0005</v>
      </c>
      <c r="AK65" s="4" t="n">
        <v>0.0011</v>
      </c>
      <c r="AL65" s="4">
        <f>SUM(X65:AK65)</f>
        <v/>
      </c>
      <c r="AM65" s="4">
        <f>+AL65-B65</f>
        <v/>
      </c>
    </row>
    <row r="66">
      <c r="A66" s="16" t="n">
        <v>45412</v>
      </c>
      <c r="B66" s="15" t="n">
        <v>-0.02319141965</v>
      </c>
      <c r="C66" s="11">
        <f>+B66-$E$1/12</f>
        <v/>
      </c>
      <c r="D66" t="n">
        <v>-0.0355</v>
      </c>
      <c r="E66" t="n">
        <v>-0.0248</v>
      </c>
      <c r="F66" t="n">
        <v>-0.0403</v>
      </c>
      <c r="G66" t="n">
        <v>-0.0301</v>
      </c>
      <c r="H66" t="n">
        <v>-0.0312</v>
      </c>
      <c r="I66" t="n">
        <v>-0.0323</v>
      </c>
      <c r="J66" s="3" t="n">
        <v>0.114116411512502</v>
      </c>
      <c r="K66" s="3" t="n">
        <v>0.0269437953514601</v>
      </c>
      <c r="L66" s="3" t="n">
        <v>0.0815386938801292</v>
      </c>
      <c r="M66" s="3" t="n">
        <v>0.034821805259077</v>
      </c>
      <c r="N66" s="3" t="n">
        <v>0.0967050645196344</v>
      </c>
      <c r="O66" s="3" t="n">
        <v>0.117822881727235</v>
      </c>
      <c r="P66" s="3" t="n">
        <v>0.0263885156430469</v>
      </c>
      <c r="Q66" s="3" t="n">
        <v>0.085742745216158</v>
      </c>
      <c r="R66" s="3" t="n">
        <v>0.0383595405429885</v>
      </c>
      <c r="S66" s="3" t="n">
        <v>0.0969313562269533</v>
      </c>
      <c r="T66" s="3" t="n">
        <v>0.0613921085018196</v>
      </c>
      <c r="U66" s="3" t="n">
        <v>0.09372874189743</v>
      </c>
      <c r="V66" s="3" t="n">
        <v>0.062708186789139</v>
      </c>
      <c r="W66" s="3" t="n">
        <v>0.0628001529324257</v>
      </c>
      <c r="X66" s="4" t="n">
        <v>0.0017</v>
      </c>
      <c r="Y66" s="4" t="n">
        <v>0</v>
      </c>
      <c r="Z66" s="4" t="n">
        <v>-0.0019</v>
      </c>
      <c r="AA66" s="4" t="n">
        <v>-0.0012</v>
      </c>
      <c r="AB66" s="4" t="n">
        <v>0.0028</v>
      </c>
      <c r="AC66" s="4" t="n">
        <v>-0.0017</v>
      </c>
      <c r="AD66" s="4" t="n">
        <v>-0.0013</v>
      </c>
      <c r="AE66" s="4" t="n">
        <v>-0.0053</v>
      </c>
      <c r="AF66" s="4" t="n">
        <v>-0.0012</v>
      </c>
      <c r="AG66" s="4" t="n">
        <v>-0.0039</v>
      </c>
      <c r="AH66" s="4" t="n">
        <v>-0.0009</v>
      </c>
      <c r="AI66" s="4" t="n">
        <v>-0.0023</v>
      </c>
      <c r="AJ66" s="4" t="n">
        <v>-0.0041</v>
      </c>
      <c r="AK66" s="4" t="n">
        <v>-0.0051</v>
      </c>
      <c r="AL66" s="4">
        <f>SUM(X66:AK66)</f>
        <v/>
      </c>
      <c r="AM66" s="4">
        <f>+AL66-B66</f>
        <v/>
      </c>
    </row>
    <row r="67">
      <c r="A67" s="16" t="n">
        <v>45443</v>
      </c>
      <c r="B67" s="15" t="n">
        <v>0.02123137976</v>
      </c>
      <c r="C67" s="11">
        <f>+B67-$E$1/12</f>
        <v/>
      </c>
      <c r="D67" t="n">
        <v>0.0458</v>
      </c>
      <c r="E67" t="n">
        <v>0.0167</v>
      </c>
      <c r="F67" t="n">
        <v>0.0506</v>
      </c>
      <c r="G67" t="n">
        <v>0.0312</v>
      </c>
      <c r="H67" t="n">
        <v>0.0341</v>
      </c>
      <c r="I67" t="n">
        <v>0.037</v>
      </c>
      <c r="J67" s="12" t="n">
        <v>0.122948024683495</v>
      </c>
      <c r="K67" s="12" t="n">
        <v>0.0278497569822455</v>
      </c>
      <c r="L67" s="12" t="n">
        <v>0.0794590543884065</v>
      </c>
      <c r="M67" s="12" t="n">
        <v>0.0383020468968294</v>
      </c>
      <c r="N67" s="12" t="n">
        <v>0.0892131606279381</v>
      </c>
      <c r="O67" s="12" t="n">
        <v>0.140043328444831</v>
      </c>
      <c r="P67" s="12" t="n">
        <v>0.0220805024522381</v>
      </c>
      <c r="Q67" s="12" t="n">
        <v>0.07788374115117171</v>
      </c>
      <c r="R67" s="12" t="n">
        <v>0.0416991105422339</v>
      </c>
      <c r="S67" s="12" t="n">
        <v>0.0831159212601353</v>
      </c>
      <c r="T67" s="12" t="n">
        <v>0.0703250386678097</v>
      </c>
      <c r="U67" s="12" t="n">
        <v>0.09146557103194369</v>
      </c>
      <c r="V67" s="12" t="n">
        <v>0.0646251920662773</v>
      </c>
      <c r="W67" s="12" t="n">
        <v>0.0509895508044429</v>
      </c>
      <c r="X67" s="4" t="n">
        <v>-0.0003</v>
      </c>
      <c r="Y67" s="4" t="n">
        <v>0.0005999999999999999</v>
      </c>
      <c r="Z67" s="4" t="n">
        <v>0.0047</v>
      </c>
      <c r="AA67" s="4" t="n">
        <v>0.0005</v>
      </c>
      <c r="AB67" s="4" t="n">
        <v>0.0015</v>
      </c>
      <c r="AC67" s="4" t="n">
        <v>0.0004</v>
      </c>
      <c r="AD67" s="4" t="n">
        <v>0.0005</v>
      </c>
      <c r="AE67" s="4" t="n">
        <v>0.002</v>
      </c>
      <c r="AF67" s="4" t="n">
        <v>0.0007</v>
      </c>
      <c r="AG67" s="4" t="n">
        <v>0.0041</v>
      </c>
      <c r="AH67" s="4" t="n">
        <v>0.0012</v>
      </c>
      <c r="AI67" s="4" t="n">
        <v>0.0015</v>
      </c>
      <c r="AJ67" s="4" t="n">
        <v>0.0018</v>
      </c>
      <c r="AK67" s="4" t="n">
        <v>0.0025</v>
      </c>
      <c r="AL67" s="4">
        <f>SUM(X67:AK67)</f>
        <v/>
      </c>
      <c r="AM67" s="4">
        <f>+AL67-B67</f>
        <v/>
      </c>
    </row>
    <row r="68">
      <c r="A68" s="16" t="n">
        <v>45473</v>
      </c>
      <c r="B68" s="15" t="n">
        <v>0.00553558628</v>
      </c>
      <c r="C68" s="11">
        <f>+B68-$E$1/12</f>
        <v/>
      </c>
      <c r="D68" t="n">
        <v>0.0204</v>
      </c>
      <c r="E68" t="n">
        <v>0.008800000000000001</v>
      </c>
      <c r="F68" t="n">
        <v>0.0353</v>
      </c>
      <c r="G68" t="n">
        <v>0.0146</v>
      </c>
      <c r="H68" t="n">
        <v>0.0158</v>
      </c>
      <c r="I68" t="n">
        <v>0.0169</v>
      </c>
      <c r="J68" s="12" t="n">
        <v>0.097653206303201</v>
      </c>
      <c r="K68" s="12" t="n">
        <v>0.0322632492590607</v>
      </c>
      <c r="L68" s="12" t="n">
        <v>0.0808466916658723</v>
      </c>
      <c r="M68" s="12" t="n">
        <v>0.0353787281516134</v>
      </c>
      <c r="N68" s="12" t="n">
        <v>0.0825480696071289</v>
      </c>
      <c r="O68" s="12" t="n">
        <v>0.145694911814286</v>
      </c>
      <c r="P68" s="12" t="n">
        <v>0.0234054095044129</v>
      </c>
      <c r="Q68" s="12" t="n">
        <v>0.06414123832807719</v>
      </c>
      <c r="R68" s="12" t="n">
        <v>0.048368066533061</v>
      </c>
      <c r="S68" s="12" t="n">
        <v>0.087106772116116</v>
      </c>
      <c r="T68" s="12" t="n">
        <v>0.0729821668600881</v>
      </c>
      <c r="U68" s="12" t="n">
        <v>0.101940487071322</v>
      </c>
      <c r="V68" s="12" t="n">
        <v>0.0740812384943231</v>
      </c>
      <c r="W68" s="12" t="n">
        <v>0.0535897642914364</v>
      </c>
      <c r="X68" s="4" t="n">
        <v>-0.0005</v>
      </c>
      <c r="Y68" s="4" t="n">
        <v>0.0008</v>
      </c>
      <c r="Z68" s="4" t="n">
        <v>-0.0023</v>
      </c>
      <c r="AA68" s="4" t="n">
        <v>-0.0003</v>
      </c>
      <c r="AB68" s="4" t="n">
        <v>0</v>
      </c>
      <c r="AC68" s="4" t="n">
        <v>0.0009</v>
      </c>
      <c r="AD68" s="4" t="n">
        <v>-0.0009</v>
      </c>
      <c r="AE68" s="4" t="n">
        <v>-0.0001</v>
      </c>
      <c r="AF68" s="4" t="n">
        <v>0.0005</v>
      </c>
      <c r="AG68" s="4" t="n">
        <v>0.0031</v>
      </c>
      <c r="AH68" s="4" t="n">
        <v>0.0005</v>
      </c>
      <c r="AI68" s="4" t="n">
        <v>0.0008</v>
      </c>
      <c r="AJ68" s="4" t="n">
        <v>0.0012</v>
      </c>
      <c r="AK68" s="4" t="n">
        <v>0.001</v>
      </c>
      <c r="AL68" s="4">
        <f>SUM(X68:AK68)</f>
        <v/>
      </c>
      <c r="AM68" s="4">
        <f>+AL68-B68</f>
        <v/>
      </c>
    </row>
    <row r="69">
      <c r="A69" s="16" t="n">
        <v>45504</v>
      </c>
      <c r="B69" s="15" t="n">
        <v>0.02578346719</v>
      </c>
      <c r="C69" s="11">
        <f>+B69-$E$1/12</f>
        <v/>
      </c>
      <c r="D69" s="10" t="n">
        <v>0.0154</v>
      </c>
      <c r="E69" s="10" t="n">
        <v>0.0242</v>
      </c>
      <c r="F69" t="n">
        <v>0.0121</v>
      </c>
      <c r="G69" t="n">
        <v>0.0198</v>
      </c>
      <c r="H69" t="n">
        <v>0.0189</v>
      </c>
      <c r="I69" t="n">
        <v>0.018</v>
      </c>
      <c r="J69" s="12" t="n">
        <v>0.0846403422194834</v>
      </c>
      <c r="K69" s="12" t="n">
        <v>0.0323869690589336</v>
      </c>
      <c r="L69" s="12" t="n">
        <v>0.0828829632786327</v>
      </c>
      <c r="M69" s="12" t="n">
        <v>0.0328600324730646</v>
      </c>
      <c r="N69" s="12" t="n">
        <v>0.0726070630219345</v>
      </c>
      <c r="O69" s="12" t="n">
        <v>0.14863645203978</v>
      </c>
      <c r="P69" s="12" t="n">
        <v>0.0235839731615624</v>
      </c>
      <c r="Q69" s="12" t="n">
        <v>0.07700975403069731</v>
      </c>
      <c r="R69" s="12" t="n">
        <v>0.0457436891656095</v>
      </c>
      <c r="S69" s="12" t="n">
        <v>0.103472343909741</v>
      </c>
      <c r="T69" s="12" t="n">
        <v>0.0617769847203239</v>
      </c>
      <c r="U69" s="12" t="n">
        <v>0.101924195481754</v>
      </c>
      <c r="V69" s="12" t="n">
        <v>0.06970969538975109</v>
      </c>
      <c r="W69" s="12" t="n">
        <v>0.0627655420487311</v>
      </c>
      <c r="X69" s="4" t="n">
        <v>-0.0021</v>
      </c>
      <c r="Y69" s="4" t="n">
        <v>0.0003</v>
      </c>
      <c r="Z69" s="4" t="n">
        <v>0.0017</v>
      </c>
      <c r="AA69" s="4" t="n">
        <v>0.0012</v>
      </c>
      <c r="AB69" s="4" t="n">
        <v>0.0039</v>
      </c>
      <c r="AC69" s="4" t="n">
        <v>0.0031</v>
      </c>
      <c r="AD69" s="4" t="n">
        <v>0.0015</v>
      </c>
      <c r="AE69" s="4" t="n">
        <v>0.0032</v>
      </c>
      <c r="AF69" s="4" t="n">
        <v>0.0013</v>
      </c>
      <c r="AG69" s="4" t="n">
        <v>0.0013</v>
      </c>
      <c r="AH69" s="4" t="n">
        <v>0.001</v>
      </c>
      <c r="AI69" s="4" t="n">
        <v>0.0025</v>
      </c>
      <c r="AJ69" s="4" t="n">
        <v>0.0025</v>
      </c>
      <c r="AK69" s="4" t="n">
        <v>0.0048</v>
      </c>
      <c r="AL69" s="4">
        <f>SUM(X69:AK69)</f>
        <v/>
      </c>
      <c r="AM69" s="4">
        <f>+AL69-B69</f>
        <v/>
      </c>
    </row>
    <row r="70">
      <c r="A70" s="16" t="n">
        <v>45535</v>
      </c>
      <c r="B70" s="15" t="n">
        <v>0.01379096205</v>
      </c>
      <c r="C70" s="11">
        <f>+B70-$E$1/12</f>
        <v/>
      </c>
      <c r="D70" s="10" t="n">
        <v>0.025</v>
      </c>
      <c r="E70" s="10" t="n">
        <v>0.0146</v>
      </c>
      <c r="F70" t="n">
        <v>0.0234</v>
      </c>
      <c r="G70" t="n">
        <v>0.0198</v>
      </c>
      <c r="H70" t="n">
        <v>0.0208</v>
      </c>
      <c r="I70" t="n">
        <v>0.0219</v>
      </c>
      <c r="J70" s="12" t="n">
        <v>0.08101752958599159</v>
      </c>
      <c r="K70" s="12" t="n">
        <v>0.0202684282474162</v>
      </c>
      <c r="L70" s="12" t="n">
        <v>0.0530811887580034</v>
      </c>
      <c r="M70" s="12" t="n">
        <v>0.0699383625138169</v>
      </c>
      <c r="N70" s="12" t="n">
        <v>0.0983832622570035</v>
      </c>
      <c r="O70" s="12" t="n">
        <v>0.0919359774958928</v>
      </c>
      <c r="P70" s="12" t="n">
        <v>0.0176992574432442</v>
      </c>
      <c r="Q70" s="12" t="n">
        <v>0.0456741105036084</v>
      </c>
      <c r="R70" s="12" t="n">
        <v>0.108082446634008</v>
      </c>
      <c r="S70" s="12" t="n">
        <v>0.0673705035048099</v>
      </c>
      <c r="T70" s="12" t="n">
        <v>0.132227870656775</v>
      </c>
      <c r="U70" s="12" t="n">
        <v>0.0757885036678061</v>
      </c>
      <c r="V70" s="12" t="n">
        <v>0.08387519090461081</v>
      </c>
      <c r="W70" s="12" t="n">
        <v>0.0546573678270121</v>
      </c>
      <c r="X70" s="4" t="n">
        <v>-0.0016</v>
      </c>
      <c r="Y70" s="4" t="n">
        <v>0</v>
      </c>
      <c r="Z70" s="4" t="n">
        <v>0.0016</v>
      </c>
      <c r="AA70" s="4" t="n">
        <v>0.0021</v>
      </c>
      <c r="AB70" s="4" t="n">
        <v>0.0022</v>
      </c>
      <c r="AC70" s="4" t="n">
        <v>0.0005</v>
      </c>
      <c r="AD70" s="4" t="n">
        <v>0.0011</v>
      </c>
      <c r="AE70" s="4" t="n">
        <v>-0.0008</v>
      </c>
      <c r="AF70" s="4" t="n">
        <v>0.0012</v>
      </c>
      <c r="AG70" s="4" t="n">
        <v>0.0011</v>
      </c>
      <c r="AH70" s="4" t="n">
        <v>0.001</v>
      </c>
      <c r="AI70" s="4" t="n">
        <v>0.0012</v>
      </c>
      <c r="AJ70" s="4" t="n">
        <v>0.0017</v>
      </c>
      <c r="AK70" s="4" t="n">
        <v>0.003</v>
      </c>
      <c r="AL70" s="4">
        <f>SUM(X70:AK70)</f>
        <v/>
      </c>
      <c r="AM70" s="4">
        <f>+AL70-B70</f>
        <v/>
      </c>
    </row>
    <row r="71">
      <c r="A71" s="16" t="n">
        <v>45565</v>
      </c>
      <c r="B71" s="15" t="n">
        <v>0.01771283845</v>
      </c>
      <c r="C71" s="11">
        <f>+B71-$E$1/12</f>
        <v/>
      </c>
      <c r="D71" s="10" t="n">
        <v>0.022</v>
      </c>
      <c r="E71" s="10" t="n">
        <v>0.0133</v>
      </c>
      <c r="F71" t="n">
        <v>0.021</v>
      </c>
      <c r="G71" t="n">
        <v>0.0176</v>
      </c>
      <c r="H71" t="n">
        <v>0.0185</v>
      </c>
      <c r="I71" t="n">
        <v>0.0194</v>
      </c>
      <c r="J71" s="12" t="n">
        <v>0.0804259467042933</v>
      </c>
      <c r="K71" s="12" t="n">
        <v>0.0144440360628015</v>
      </c>
      <c r="L71" s="12" t="n">
        <v>0.0453328584032348</v>
      </c>
      <c r="M71" s="12" t="n">
        <v>0.0729376899450721</v>
      </c>
      <c r="N71" s="12" t="n">
        <v>0.107672089888555</v>
      </c>
      <c r="O71" s="12" t="n">
        <v>0.11694069663176</v>
      </c>
      <c r="P71" s="12" t="n">
        <v>0.0167502296153632</v>
      </c>
      <c r="Q71" s="12" t="n">
        <v>0.0342058106604023</v>
      </c>
      <c r="R71" s="12" t="n">
        <v>0.103682907319122</v>
      </c>
      <c r="S71" s="12" t="n">
        <v>0.0494850272089141</v>
      </c>
      <c r="T71" s="12" t="n">
        <v>0.134168652886356</v>
      </c>
      <c r="U71" s="12" t="n">
        <v>0.0816049732727384</v>
      </c>
      <c r="V71" s="12" t="n">
        <v>0.08500351118252809</v>
      </c>
      <c r="W71" s="12" t="n">
        <v>0.0573455702188569</v>
      </c>
      <c r="X71" s="4" t="n">
        <v>0.0005999999999999999</v>
      </c>
      <c r="Y71" s="4" t="n">
        <v>0.0007</v>
      </c>
      <c r="Z71" s="4" t="n">
        <v>-0.0001</v>
      </c>
      <c r="AA71" s="4" t="n">
        <v>0.0017</v>
      </c>
      <c r="AB71" s="4" t="n">
        <v>0.0055</v>
      </c>
      <c r="AC71" s="4" t="n">
        <v>0.0014</v>
      </c>
      <c r="AD71" s="4" t="n">
        <v>0.0004</v>
      </c>
      <c r="AE71" s="4" t="n">
        <v>-0.0004</v>
      </c>
      <c r="AF71" s="4" t="n">
        <v>0.0015</v>
      </c>
      <c r="AG71" s="4" t="n">
        <v>0.0007</v>
      </c>
      <c r="AH71" s="4" t="n">
        <v>0.002</v>
      </c>
      <c r="AI71" s="4" t="n">
        <v>0.0011</v>
      </c>
      <c r="AJ71" s="4" t="n">
        <v>0.0017</v>
      </c>
      <c r="AK71" s="4" t="n">
        <v>0.0018</v>
      </c>
      <c r="AL71" s="4">
        <f>SUM(X71:AK71)</f>
        <v/>
      </c>
      <c r="AM71" s="4">
        <f>+AL71-B71</f>
        <v/>
      </c>
    </row>
    <row r="72">
      <c r="A72" s="16" t="n">
        <v>45596</v>
      </c>
      <c r="B72" s="15" t="n">
        <v>-0.02001682864</v>
      </c>
      <c r="C72" s="11">
        <f>+B72-$E$1/12</f>
        <v/>
      </c>
      <c r="D72" s="10" t="n">
        <v>-0.0209</v>
      </c>
      <c r="E72" s="10" t="n">
        <v>-0.0252</v>
      </c>
      <c r="F72" t="n">
        <v>-0.0089</v>
      </c>
      <c r="G72" t="n">
        <v>-0.0231</v>
      </c>
      <c r="H72" t="n">
        <v>-0.0226</v>
      </c>
      <c r="I72" t="n">
        <v>-0.0222</v>
      </c>
      <c r="J72" s="12" t="n">
        <v>0.0586474555711821</v>
      </c>
      <c r="K72" s="12" t="n">
        <v>0.0159873900015792</v>
      </c>
      <c r="L72" s="12" t="n">
        <v>0.0599665997924627</v>
      </c>
      <c r="M72" s="12" t="n">
        <v>0.0456551009489955</v>
      </c>
      <c r="N72" s="12" t="n">
        <v>0.07800749599778629</v>
      </c>
      <c r="O72" s="12" t="n">
        <v>0.177763660751573</v>
      </c>
      <c r="P72" s="12" t="n">
        <v>0.0222465467840019</v>
      </c>
      <c r="Q72" s="12" t="n">
        <v>0.0413956656555801</v>
      </c>
      <c r="R72" s="12" t="n">
        <v>0.0538603797064537</v>
      </c>
      <c r="S72" s="12" t="n">
        <v>0.0594311498058648</v>
      </c>
      <c r="T72" s="12" t="n">
        <v>0.0857608982750124</v>
      </c>
      <c r="U72" s="12" t="n">
        <v>0.135559157004882</v>
      </c>
      <c r="V72" s="12" t="n">
        <v>0.08241482791253921</v>
      </c>
      <c r="W72" s="12" t="n">
        <v>0.083303671792086</v>
      </c>
      <c r="X72" s="4" t="n">
        <v>0.0012</v>
      </c>
      <c r="Y72" s="4" t="n">
        <v>-0.0005</v>
      </c>
      <c r="Z72" s="4" t="n">
        <v>-0.0033</v>
      </c>
      <c r="AA72" s="4" t="n">
        <v>-0.0023</v>
      </c>
      <c r="AB72" s="4" t="n">
        <v>0.0037</v>
      </c>
      <c r="AC72" s="4" t="n">
        <v>-0.0016</v>
      </c>
      <c r="AD72" s="4" t="n">
        <v>-0.002</v>
      </c>
      <c r="AE72" s="4" t="n">
        <v>-0.002</v>
      </c>
      <c r="AF72" s="4" t="n">
        <v>-0.0017</v>
      </c>
      <c r="AG72" s="4" t="n">
        <v>-0.0005</v>
      </c>
      <c r="AH72" s="4" t="n">
        <v>-0.0014</v>
      </c>
      <c r="AI72" s="4" t="n">
        <v>-0.0036</v>
      </c>
      <c r="AJ72" s="4" t="n">
        <v>-0.0045</v>
      </c>
      <c r="AK72" s="4" t="n">
        <v>-0.0028</v>
      </c>
      <c r="AL72" s="4">
        <f>SUM(X72:AK72)</f>
        <v/>
      </c>
      <c r="AM72" s="4">
        <f>+AL72-B72</f>
        <v/>
      </c>
    </row>
    <row r="73">
      <c r="A73" s="16" t="n">
        <v>45626</v>
      </c>
      <c r="B73" s="15" t="n">
        <v>0.009668813699999999</v>
      </c>
      <c r="C73" s="11">
        <f>+B73-$E$1/12</f>
        <v/>
      </c>
      <c r="D73" s="10" t="n">
        <v>0.0403</v>
      </c>
      <c r="E73" s="10" t="n">
        <v>0.0111</v>
      </c>
      <c r="F73" t="n">
        <v>0.0596</v>
      </c>
      <c r="G73" t="n">
        <v>0.0257</v>
      </c>
      <c r="H73" t="n">
        <v>0.0286</v>
      </c>
      <c r="I73" t="n">
        <v>0.0316</v>
      </c>
      <c r="J73" s="12" t="n">
        <v>0.0567</v>
      </c>
      <c r="K73" s="12" t="n">
        <v>0.0156</v>
      </c>
      <c r="L73" s="12" t="n">
        <v>0.0621</v>
      </c>
      <c r="M73" s="12" t="n">
        <v>0.042</v>
      </c>
      <c r="N73" s="12" t="n">
        <v>0.08690000000000001</v>
      </c>
      <c r="O73" s="12" t="n">
        <v>0.172</v>
      </c>
      <c r="P73" s="12" t="n">
        <v>0.0223</v>
      </c>
      <c r="Q73" s="12" t="n">
        <v>0.0428</v>
      </c>
      <c r="R73" s="12" t="n">
        <v>0.0542</v>
      </c>
      <c r="S73" s="12" t="n">
        <v>0.0631</v>
      </c>
      <c r="T73" s="12" t="n">
        <v>0.0775</v>
      </c>
      <c r="U73" s="12" t="n">
        <v>0.1343</v>
      </c>
      <c r="V73" s="12" t="n">
        <v>0.08699999999999999</v>
      </c>
      <c r="W73" s="12" t="n">
        <v>0.08359999999999999</v>
      </c>
      <c r="X73" s="4" t="n">
        <v>-0.0011</v>
      </c>
      <c r="Y73" s="4" t="n">
        <v>-0.0004</v>
      </c>
      <c r="Z73" s="4" t="n">
        <v>-0.0011</v>
      </c>
      <c r="AA73" s="4" t="n">
        <v>0.0001</v>
      </c>
      <c r="AB73" s="4" t="n">
        <v>-0.0027</v>
      </c>
      <c r="AC73" s="4" t="n">
        <v>0.0029</v>
      </c>
      <c r="AD73" s="4" t="n">
        <v>-0.0003</v>
      </c>
      <c r="AE73" s="4" t="n">
        <v>0.001</v>
      </c>
      <c r="AF73" s="4" t="n">
        <v>0.0005999999999999999</v>
      </c>
      <c r="AG73" s="4" t="n">
        <v>0.0037</v>
      </c>
      <c r="AH73" s="4" t="n">
        <v>0.0004</v>
      </c>
      <c r="AI73" s="4" t="n">
        <v>0.0015</v>
      </c>
      <c r="AJ73" s="4" t="n">
        <v>0.0019</v>
      </c>
      <c r="AK73" s="4" t="n">
        <v>0.0035</v>
      </c>
      <c r="AL73" s="4">
        <f>SUM(X73:AK73)</f>
        <v/>
      </c>
      <c r="AM73" s="4">
        <f>+AL73-B73</f>
        <v/>
      </c>
    </row>
    <row r="74">
      <c r="A74" s="16" t="n">
        <v>45657</v>
      </c>
      <c r="B74" s="15" t="n">
        <v>-0.02459533847</v>
      </c>
      <c r="C74" s="11">
        <f>+B74-$E$1/12</f>
        <v/>
      </c>
      <c r="D74" s="10" t="n">
        <v>-0.0265</v>
      </c>
      <c r="E74" s="10" t="n">
        <v>-0.0169</v>
      </c>
      <c r="F74" t="n">
        <v>-0.0241</v>
      </c>
      <c r="G74" t="n">
        <v>-0.0217</v>
      </c>
      <c r="H74" t="n">
        <v>-0.0227</v>
      </c>
      <c r="I74" t="n">
        <v>-0.0237</v>
      </c>
      <c r="J74" s="12" t="n">
        <v>0.0512</v>
      </c>
      <c r="K74" s="12" t="n">
        <v>0.0209</v>
      </c>
      <c r="L74" s="12" t="n">
        <v>0.0689</v>
      </c>
      <c r="M74" s="12" t="n">
        <v>0.0283</v>
      </c>
      <c r="N74" s="12" t="n">
        <v>0.0659</v>
      </c>
      <c r="O74" s="12" t="n">
        <v>0.1874</v>
      </c>
      <c r="P74" s="12" t="n">
        <v>0.0278</v>
      </c>
      <c r="Q74" s="12" t="n">
        <v>0.0576</v>
      </c>
      <c r="R74" s="12" t="n">
        <v>0.045</v>
      </c>
      <c r="S74" s="12" t="n">
        <v>0.1149</v>
      </c>
      <c r="T74" s="12" t="n">
        <v>0.0607</v>
      </c>
      <c r="U74" s="12" t="n">
        <v>0.123</v>
      </c>
      <c r="V74" s="12" t="n">
        <v>0.0669</v>
      </c>
      <c r="W74" s="12" t="n">
        <v>0.0813</v>
      </c>
      <c r="X74" s="7" t="n">
        <v>0.0009</v>
      </c>
      <c r="Y74" s="7" t="n">
        <v>-0.0004</v>
      </c>
      <c r="Z74" s="7" t="n">
        <v>-0.002</v>
      </c>
      <c r="AA74" s="7" t="n">
        <v>-0.001</v>
      </c>
      <c r="AB74" s="7" t="n">
        <v>-0.0011</v>
      </c>
      <c r="AC74" s="7" t="n">
        <v>-0.0015</v>
      </c>
      <c r="AD74" s="7" t="n">
        <v>-0.0017</v>
      </c>
      <c r="AE74" s="7" t="n">
        <v>-0.0014</v>
      </c>
      <c r="AF74" s="4" t="n">
        <v>-0.001</v>
      </c>
      <c r="AG74" s="4" t="n">
        <v>-0.0029</v>
      </c>
      <c r="AH74" s="4" t="n">
        <v>-0.0011</v>
      </c>
      <c r="AI74" s="4" t="n">
        <v>-0.0021</v>
      </c>
      <c r="AJ74" s="4" t="n">
        <v>-0.0042</v>
      </c>
      <c r="AK74" s="4" t="n">
        <v>-0.0069</v>
      </c>
      <c r="AL74" s="4">
        <f>SUM(X74:AK74)</f>
        <v/>
      </c>
      <c r="AM74" s="4">
        <f>+AL74-B74</f>
        <v/>
      </c>
    </row>
    <row r="75">
      <c r="A75" s="16" t="n">
        <v>45688</v>
      </c>
      <c r="B75" s="15" t="n">
        <v>0.02114585826</v>
      </c>
      <c r="C75" s="11">
        <f>+B75-$E$1/12</f>
        <v/>
      </c>
      <c r="D75" s="10" t="n">
        <v>0.0314</v>
      </c>
      <c r="E75" s="10" t="n">
        <v>0.0052</v>
      </c>
      <c r="F75" t="n">
        <v>0.0269</v>
      </c>
      <c r="G75" t="n">
        <v>0.0183</v>
      </c>
      <c r="H75" t="n">
        <v>0.0209</v>
      </c>
      <c r="I75" t="n">
        <v>0.0235</v>
      </c>
      <c r="J75" s="12" t="n">
        <v>0.0867</v>
      </c>
      <c r="K75" s="12" t="n">
        <v>0.0222</v>
      </c>
      <c r="L75" s="12" t="n">
        <v>0.0607</v>
      </c>
      <c r="M75" s="12" t="n">
        <v>0.0688</v>
      </c>
      <c r="N75" s="12" t="n">
        <v>0.1644</v>
      </c>
      <c r="O75" s="12" t="n">
        <v>0.08069999999999999</v>
      </c>
      <c r="P75" s="12" t="n">
        <v>0.0164</v>
      </c>
      <c r="Q75" s="12" t="n">
        <v>0.0634</v>
      </c>
      <c r="R75" s="12" t="n">
        <v>0.0893</v>
      </c>
      <c r="S75" s="12" t="n">
        <v>0.0732</v>
      </c>
      <c r="T75" s="12" t="n">
        <v>0.1058</v>
      </c>
      <c r="U75" s="12" t="n">
        <v>0.0634</v>
      </c>
      <c r="V75" s="12" t="n">
        <v>0.0697</v>
      </c>
      <c r="W75" s="12" t="n">
        <v>0.0353</v>
      </c>
      <c r="X75" s="7" t="n">
        <v>0.0017</v>
      </c>
      <c r="Y75" s="7" t="n">
        <v>0.0005999999999999999</v>
      </c>
      <c r="Z75" s="7" t="n">
        <v>0.0052</v>
      </c>
      <c r="AA75" s="7" t="n">
        <v>0</v>
      </c>
      <c r="AB75" s="7" t="n">
        <v>0.0045</v>
      </c>
      <c r="AC75" s="7" t="n">
        <v>0.0004</v>
      </c>
      <c r="AD75" s="7" t="n">
        <v>0.0011</v>
      </c>
      <c r="AE75" s="7" t="n">
        <v>0.0014</v>
      </c>
      <c r="AF75" s="7" t="n">
        <v>0.0003</v>
      </c>
      <c r="AG75" s="7" t="n">
        <v>0.0029</v>
      </c>
      <c r="AH75" s="4" t="n">
        <v>0.0009</v>
      </c>
      <c r="AI75" s="4" t="n">
        <v>0.0005999999999999999</v>
      </c>
      <c r="AJ75" s="4" t="n">
        <v>0.0003</v>
      </c>
      <c r="AK75" s="4" t="n">
        <v>0.0011</v>
      </c>
      <c r="AL75" s="4">
        <f>SUM(X75:AK75)</f>
        <v/>
      </c>
      <c r="AM75" s="4">
        <f>+AL75-B75</f>
        <v/>
      </c>
    </row>
    <row r="76">
      <c r="A76" s="16" t="n">
        <v>45716</v>
      </c>
      <c r="B76" s="15" t="n">
        <v>0.01515101253</v>
      </c>
      <c r="C76" s="11">
        <f>+B76-$E$1/12</f>
        <v/>
      </c>
      <c r="D76" t="n">
        <v>-0.003</v>
      </c>
      <c r="E76" t="n">
        <v>0.0224</v>
      </c>
      <c r="F76" t="n">
        <v>-0.0127</v>
      </c>
      <c r="G76" t="n">
        <v>0.0097</v>
      </c>
      <c r="H76" t="n">
        <v>0.0072</v>
      </c>
      <c r="I76" t="n">
        <v>0.0046</v>
      </c>
      <c r="J76" s="12" t="n">
        <v>0.081</v>
      </c>
      <c r="K76" s="12" t="n">
        <v>0.0316</v>
      </c>
      <c r="L76" s="12" t="n">
        <v>0.092</v>
      </c>
      <c r="M76" s="12" t="n">
        <v>0.0273</v>
      </c>
      <c r="N76" s="12" t="n">
        <v>0.1115</v>
      </c>
      <c r="O76" s="12" t="n">
        <v>0.1239</v>
      </c>
      <c r="P76" s="12" t="n">
        <v>0.0222</v>
      </c>
      <c r="Q76" s="12" t="n">
        <v>0.09</v>
      </c>
      <c r="R76" s="12" t="n">
        <v>0.041</v>
      </c>
      <c r="S76" s="12" t="n">
        <v>0.1155</v>
      </c>
      <c r="T76" s="12" t="n">
        <v>0.049</v>
      </c>
      <c r="U76" s="12" t="n">
        <v>0.0953</v>
      </c>
      <c r="V76" s="12" t="n">
        <v>0.0654</v>
      </c>
      <c r="W76" s="12" t="n">
        <v>0.0544</v>
      </c>
      <c r="X76" s="7" t="n">
        <v>0</v>
      </c>
      <c r="Y76" s="4" t="n">
        <v>0.0003</v>
      </c>
      <c r="Z76" s="7" t="n">
        <v>0.0036</v>
      </c>
      <c r="AA76" s="7" t="n">
        <v>0.0005</v>
      </c>
      <c r="AB76" s="7" t="n">
        <v>0.0013</v>
      </c>
      <c r="AC76" s="7" t="n">
        <v>0.0014</v>
      </c>
      <c r="AD76" s="7" t="n">
        <v>0.0004</v>
      </c>
      <c r="AE76" s="7" t="n">
        <v>0.0002</v>
      </c>
      <c r="AF76" s="7" t="n">
        <v>0.0013</v>
      </c>
      <c r="AG76" s="7" t="n">
        <v>-0.0013</v>
      </c>
      <c r="AH76" s="4" t="n">
        <v>0.0016</v>
      </c>
      <c r="AI76" s="4" t="n">
        <v>0.0024</v>
      </c>
      <c r="AJ76" s="4" t="n">
        <v>0.0036</v>
      </c>
      <c r="AK76" s="4" t="n">
        <v>0.0022</v>
      </c>
      <c r="AL76" s="4">
        <f>SUM(X76:AK76)</f>
        <v/>
      </c>
      <c r="AM76" s="4">
        <f>+AL76-B76</f>
        <v/>
      </c>
    </row>
    <row r="77">
      <c r="A77" s="16" t="n">
        <v>45747</v>
      </c>
      <c r="B77" s="15" t="n">
        <v>0.01090611281</v>
      </c>
      <c r="C77" s="11">
        <f>+B77-$E$1/12</f>
        <v/>
      </c>
      <c r="D77" t="n">
        <v>-0.0367</v>
      </c>
      <c r="E77" t="n">
        <v>-0.0003</v>
      </c>
      <c r="F77" t="n">
        <v>-0.0557</v>
      </c>
      <c r="G77" t="n">
        <v>-0.0185</v>
      </c>
      <c r="H77" t="n">
        <v>-0.0222</v>
      </c>
      <c r="I77" t="n">
        <v>-0.0258</v>
      </c>
      <c r="J77" s="12" t="n">
        <v>0.094</v>
      </c>
      <c r="K77" s="12" t="n">
        <v>0.0316</v>
      </c>
      <c r="L77" s="12" t="n">
        <v>0.08939999999999999</v>
      </c>
      <c r="M77" s="12" t="n">
        <v>0.0265</v>
      </c>
      <c r="N77" s="12" t="n">
        <v>0.092</v>
      </c>
      <c r="O77" s="12" t="n">
        <v>0.1186</v>
      </c>
      <c r="P77" s="12" t="n">
        <v>0.0255</v>
      </c>
      <c r="Q77" s="12" t="n">
        <v>0.1061</v>
      </c>
      <c r="R77" s="12" t="n">
        <v>0.0378</v>
      </c>
      <c r="S77" s="12" t="n">
        <v>0.1152</v>
      </c>
      <c r="T77" s="12" t="n">
        <v>0.0444</v>
      </c>
      <c r="U77" s="12" t="n">
        <v>0.09470000000000001</v>
      </c>
      <c r="V77" s="12" t="n">
        <v>0.06270000000000001</v>
      </c>
      <c r="W77" s="12" t="n">
        <v>0.0616</v>
      </c>
      <c r="X77" s="4" t="n">
        <v>0.0025</v>
      </c>
      <c r="Y77" s="4" t="n">
        <v>0.0001</v>
      </c>
      <c r="Z77" s="4" t="n">
        <v>0.0005999999999999999</v>
      </c>
      <c r="AA77" s="4" t="n">
        <v>0.0005999999999999999</v>
      </c>
      <c r="AB77" s="4" t="n">
        <v>0.0114</v>
      </c>
      <c r="AC77" s="4" t="n">
        <v>-0.0012</v>
      </c>
      <c r="AD77" s="4" t="n">
        <v>0.0004</v>
      </c>
      <c r="AE77" s="4" t="n">
        <v>0.0004</v>
      </c>
      <c r="AF77" s="4" t="n">
        <v>0.0001</v>
      </c>
      <c r="AG77" s="4" t="n">
        <v>-0.0033</v>
      </c>
      <c r="AH77" s="4" t="n">
        <v>0.0008</v>
      </c>
      <c r="AI77" s="4" t="n">
        <v>0.0001</v>
      </c>
      <c r="AJ77" s="4" t="n">
        <v>-0.001</v>
      </c>
      <c r="AK77" s="4" t="n">
        <v>-0.0008</v>
      </c>
      <c r="AL77" s="4">
        <f>SUM(X77:AK77)</f>
        <v/>
      </c>
      <c r="AM77" s="4">
        <f>+AL77-B77</f>
        <v/>
      </c>
    </row>
    <row r="78">
      <c r="A78" s="16" t="n">
        <v>45777</v>
      </c>
      <c r="B78" s="15" t="n">
        <v>0.00845157513</v>
      </c>
      <c r="C78" s="11">
        <f>+B78-$E$1/12</f>
        <v/>
      </c>
      <c r="D78" t="n">
        <v>0.0052</v>
      </c>
      <c r="E78" t="n">
        <v>0.0043</v>
      </c>
      <c r="F78" t="n">
        <v>-0.008699999999999999</v>
      </c>
      <c r="G78" t="n">
        <v>0.0047</v>
      </c>
      <c r="H78" t="n">
        <v>0.0048</v>
      </c>
      <c r="I78" t="n">
        <v>0.0049</v>
      </c>
      <c r="J78" s="12" t="n">
        <v>0.1141</v>
      </c>
      <c r="K78" s="12" t="n">
        <v>0.0269</v>
      </c>
      <c r="L78" s="12" t="n">
        <v>0.0815</v>
      </c>
      <c r="M78" s="12" t="n">
        <v>0.0348</v>
      </c>
      <c r="N78" s="12" t="n">
        <v>0.09669999999999999</v>
      </c>
      <c r="O78" s="12" t="n">
        <v>0.1178</v>
      </c>
      <c r="P78" s="12" t="n">
        <v>0.0264</v>
      </c>
      <c r="Q78" s="12" t="n">
        <v>0.0857</v>
      </c>
      <c r="R78" s="12" t="n">
        <v>0.0384</v>
      </c>
      <c r="S78" s="12" t="n">
        <v>0.0969</v>
      </c>
      <c r="T78" s="12" t="n">
        <v>0.0614</v>
      </c>
      <c r="U78" s="12" t="n">
        <v>0.09370000000000001</v>
      </c>
      <c r="V78" s="12" t="n">
        <v>0.06270000000000001</v>
      </c>
      <c r="W78" s="12" t="n">
        <v>0.06279999999999999</v>
      </c>
      <c r="X78" s="4" t="n">
        <v>-0.0083</v>
      </c>
      <c r="Y78" s="4" t="n">
        <v>0.0001</v>
      </c>
      <c r="Z78" s="4" t="n">
        <v>0.0013</v>
      </c>
      <c r="AA78" s="4" t="n">
        <v>0.0052</v>
      </c>
      <c r="AB78" s="4" t="n">
        <v>0.007900000000000001</v>
      </c>
      <c r="AC78" s="4" t="n">
        <v>0.0017</v>
      </c>
      <c r="AD78" s="4" t="n">
        <v>0.0012</v>
      </c>
      <c r="AE78" s="4" t="n">
        <v>0.0013</v>
      </c>
      <c r="AF78" s="4" t="n">
        <v>0.0011</v>
      </c>
      <c r="AG78" s="4" t="n">
        <v>-0.0002</v>
      </c>
      <c r="AH78" s="4" t="n">
        <v>0.0001</v>
      </c>
      <c r="AI78" s="4" t="n">
        <v>0.0002</v>
      </c>
      <c r="AJ78" s="4" t="n">
        <v>-0.0012</v>
      </c>
      <c r="AK78" s="4" t="n">
        <v>-0.0007</v>
      </c>
      <c r="AL78" s="4">
        <f>SUM(X78:AK78)</f>
        <v/>
      </c>
      <c r="AM78" s="4">
        <f>+AL78-B78</f>
        <v/>
      </c>
    </row>
    <row r="79">
      <c r="A79" s="16" t="n">
        <v>45808</v>
      </c>
      <c r="B79" s="15" t="n">
        <v>-0.001424809</v>
      </c>
      <c r="C79" s="11">
        <f>+B79-$E$1/12</f>
        <v/>
      </c>
      <c r="D79" t="n">
        <v>0.0569</v>
      </c>
      <c r="E79" t="n">
        <v>-0.0061</v>
      </c>
      <c r="F79" t="n">
        <v>0.06279999999999999</v>
      </c>
      <c r="G79" t="n">
        <v>0.0254</v>
      </c>
      <c r="H79" t="n">
        <v>0.0317</v>
      </c>
      <c r="I79" t="n">
        <v>0.038</v>
      </c>
      <c r="J79" s="12" t="n">
        <v>0.1229</v>
      </c>
      <c r="K79" s="12" t="n">
        <v>0.0279</v>
      </c>
      <c r="L79" s="12" t="n">
        <v>0.0795</v>
      </c>
      <c r="M79" s="12" t="n">
        <v>0.0383</v>
      </c>
      <c r="N79" s="12" t="n">
        <v>0.0892</v>
      </c>
      <c r="O79" s="12" t="n">
        <v>0.14</v>
      </c>
      <c r="P79" s="12" t="n">
        <v>0.0221</v>
      </c>
      <c r="Q79" s="12" t="n">
        <v>0.0779</v>
      </c>
      <c r="R79" s="12" t="n">
        <v>0.0417</v>
      </c>
      <c r="S79" s="12" t="n">
        <v>0.08309999999999999</v>
      </c>
      <c r="T79" s="12" t="n">
        <v>0.0703</v>
      </c>
      <c r="U79" s="12" t="n">
        <v>0.0915</v>
      </c>
      <c r="V79" s="12" t="n">
        <v>0.0646</v>
      </c>
      <c r="W79" s="12" t="n">
        <v>0.051</v>
      </c>
      <c r="X79" s="4" t="n">
        <v>0.001</v>
      </c>
      <c r="Y79" s="4" t="n">
        <v>0.0003</v>
      </c>
      <c r="Z79" s="4" t="n">
        <v>0.0011</v>
      </c>
      <c r="AA79" s="4" t="n">
        <v>-0.0004</v>
      </c>
      <c r="AB79" s="4" t="n">
        <v>-0.0004</v>
      </c>
      <c r="AC79" s="4" t="n">
        <v>0.0001</v>
      </c>
      <c r="AD79" s="4" t="n">
        <v>0.0003</v>
      </c>
      <c r="AE79" s="4" t="n">
        <v>0.0008</v>
      </c>
      <c r="AF79" s="4" t="n">
        <v>-0.0017</v>
      </c>
      <c r="AG79" s="4" t="n">
        <v>0.0013</v>
      </c>
      <c r="AH79" s="4" t="n">
        <v>-0.001</v>
      </c>
      <c r="AI79" s="4" t="n">
        <v>-0.0005</v>
      </c>
      <c r="AJ79" s="4" t="n">
        <v>-0.0031</v>
      </c>
      <c r="AK79" s="4" t="n">
        <v>0.0002</v>
      </c>
      <c r="AL79" s="4">
        <f>SUM(X79:AK79)</f>
        <v/>
      </c>
      <c r="AM79" s="4">
        <f>+AL79-B79</f>
        <v/>
      </c>
    </row>
    <row r="80">
      <c r="A80" s="16" t="n">
        <v>45838</v>
      </c>
      <c r="B80" s="15" t="n">
        <v>0.01746895338</v>
      </c>
      <c r="C80" s="11">
        <f>+B80-$E$1/12</f>
        <v/>
      </c>
      <c r="D80" t="n">
        <v>0.048</v>
      </c>
      <c r="E80" t="n">
        <v>0.0146</v>
      </c>
      <c r="F80" t="n">
        <v>0.0514</v>
      </c>
      <c r="G80" t="n">
        <v>0.0313</v>
      </c>
      <c r="H80" t="n">
        <v>0.0346</v>
      </c>
      <c r="I80" t="n">
        <v>0.038</v>
      </c>
      <c r="J80" s="12" t="n">
        <v>0.0977</v>
      </c>
      <c r="K80" s="12" t="n">
        <v>0.0323</v>
      </c>
      <c r="L80" s="12" t="n">
        <v>0.0808</v>
      </c>
      <c r="M80" s="12" t="n">
        <v>0.0354</v>
      </c>
      <c r="N80" s="12" t="n">
        <v>0.0825</v>
      </c>
      <c r="O80" s="12" t="n">
        <v>0.1457</v>
      </c>
      <c r="P80" s="12" t="n">
        <v>0.0234</v>
      </c>
      <c r="Q80" s="12" t="n">
        <v>0.0641</v>
      </c>
      <c r="R80" s="12" t="n">
        <v>0.0484</v>
      </c>
      <c r="S80" s="12" t="n">
        <v>0.0871</v>
      </c>
      <c r="T80" s="12" t="n">
        <v>0.073</v>
      </c>
      <c r="U80" s="12" t="n">
        <v>0.1019</v>
      </c>
      <c r="V80" s="12" t="n">
        <v>0.0741</v>
      </c>
      <c r="W80" s="12" t="n">
        <v>0.0536</v>
      </c>
      <c r="X80" s="4" t="n">
        <v>0.0028</v>
      </c>
      <c r="Y80" s="4" t="n">
        <v>0.0005999999999999999</v>
      </c>
      <c r="Z80" s="4" t="n">
        <v>0.0004</v>
      </c>
      <c r="AA80" s="4" t="n">
        <v>0.002</v>
      </c>
      <c r="AB80" s="4" t="n">
        <v>0.0012</v>
      </c>
      <c r="AC80" s="4" t="n">
        <v>0.0005</v>
      </c>
      <c r="AD80" s="4" t="n">
        <v>0.0003</v>
      </c>
      <c r="AE80" s="4" t="n">
        <v>0.0005</v>
      </c>
      <c r="AF80" s="4" t="n">
        <v>0.0022</v>
      </c>
      <c r="AG80" s="4" t="n">
        <v>0.001</v>
      </c>
      <c r="AH80" s="4" t="n">
        <v>0.0015</v>
      </c>
      <c r="AI80" s="4" t="n">
        <v>0.0014</v>
      </c>
      <c r="AJ80" s="4" t="n">
        <v>0.003</v>
      </c>
      <c r="AK80" s="4" t="n">
        <v>0.0002</v>
      </c>
      <c r="AL80" s="4">
        <f>SUM(X80:AK80)</f>
        <v/>
      </c>
      <c r="AM80" s="4">
        <f>+AL80-B80</f>
        <v/>
      </c>
    </row>
    <row r="81">
      <c r="A81" s="16" t="n">
        <v>45869</v>
      </c>
      <c r="B81" s="15" t="n">
        <v>-0.00436474365</v>
      </c>
      <c r="C81" s="11">
        <f>+B81-$E$1/12</f>
        <v/>
      </c>
      <c r="D81" t="n">
        <v>0.0106</v>
      </c>
      <c r="E81" t="n">
        <v>-0.0026</v>
      </c>
      <c r="F81" t="n">
        <v>0.023</v>
      </c>
      <c r="G81" t="n">
        <v>0.004</v>
      </c>
      <c r="H81" t="n">
        <v>0.0053</v>
      </c>
      <c r="I81" t="n">
        <v>0.0066</v>
      </c>
      <c r="J81" s="12" t="n">
        <v>0.08459999999999999</v>
      </c>
      <c r="K81" s="12" t="n">
        <v>0.0324</v>
      </c>
      <c r="L81" s="12" t="n">
        <v>0.0829</v>
      </c>
      <c r="M81" s="12" t="n">
        <v>0.0329</v>
      </c>
      <c r="N81" s="12" t="n">
        <v>0.0726</v>
      </c>
      <c r="O81" s="12" t="n">
        <v>0.1486</v>
      </c>
      <c r="P81" s="12" t="n">
        <v>0.0236</v>
      </c>
      <c r="Q81" s="12" t="n">
        <v>0.077</v>
      </c>
      <c r="R81" s="12" t="n">
        <v>0.0457</v>
      </c>
      <c r="S81" s="12" t="n">
        <v>0.1035</v>
      </c>
      <c r="T81" s="12" t="n">
        <v>0.0618</v>
      </c>
      <c r="U81" s="12" t="n">
        <v>0.1019</v>
      </c>
      <c r="V81" s="12" t="n">
        <v>0.0697</v>
      </c>
      <c r="W81" s="12" t="n">
        <v>0.06279999999999999</v>
      </c>
      <c r="X81" s="4" t="n">
        <v>0.0018</v>
      </c>
      <c r="Y81" s="4" t="n">
        <v>0.0001</v>
      </c>
      <c r="Z81" s="4" t="n">
        <v>-0.0005999999999999999</v>
      </c>
      <c r="AA81" s="4" t="n">
        <v>-0.0028</v>
      </c>
      <c r="AB81" s="4" t="n">
        <v>-0.0005</v>
      </c>
      <c r="AC81" s="4" t="n">
        <v>-0.0002</v>
      </c>
      <c r="AD81" s="4" t="n">
        <v>-0.0003</v>
      </c>
      <c r="AE81" s="4" t="n">
        <v>-0.0005</v>
      </c>
      <c r="AF81" s="4" t="n">
        <v>-0.0008</v>
      </c>
      <c r="AG81" s="4" t="n">
        <v>0.0005</v>
      </c>
      <c r="AH81" s="4" t="n">
        <v>0</v>
      </c>
      <c r="AI81" s="4" t="n">
        <v>-0.0002</v>
      </c>
      <c r="AJ81" s="4" t="n">
        <v>-0.0011</v>
      </c>
      <c r="AK81" s="4" t="n">
        <v>0</v>
      </c>
      <c r="AL81" s="4">
        <f>SUM(X81:AK81)</f>
        <v/>
      </c>
      <c r="AM81" s="4">
        <f>+AL81-B81</f>
        <v/>
      </c>
    </row>
    <row r="82">
      <c r="A82" s="16" t="n">
        <v>45900</v>
      </c>
      <c r="B82" s="15" t="n">
        <v>0.021112068</v>
      </c>
      <c r="C82" s="11">
        <f>+B82-$E$1/12</f>
        <v/>
      </c>
      <c r="D82" t="n">
        <v>0.0268</v>
      </c>
      <c r="E82" t="n">
        <v>0.0119</v>
      </c>
      <c r="F82" t="n">
        <v>0.0205</v>
      </c>
      <c r="G82" t="n">
        <v>0.0193</v>
      </c>
      <c r="H82" t="n">
        <v>0.0208</v>
      </c>
      <c r="I82" t="n">
        <v>0.0223</v>
      </c>
      <c r="J82" s="12" t="n">
        <v>0.081</v>
      </c>
      <c r="K82" s="12" t="n">
        <v>0.0203</v>
      </c>
      <c r="L82" s="12" t="n">
        <v>0.0531</v>
      </c>
      <c r="M82" s="12" t="n">
        <v>0.0699</v>
      </c>
      <c r="N82" s="12" t="n">
        <v>0.0984</v>
      </c>
      <c r="O82" s="12" t="n">
        <v>0.0919</v>
      </c>
      <c r="P82" s="12" t="n">
        <v>0.0177</v>
      </c>
      <c r="Q82" s="12" t="n">
        <v>0.0457</v>
      </c>
      <c r="R82" s="12" t="n">
        <v>0.1081</v>
      </c>
      <c r="S82" s="12" t="n">
        <v>0.0674</v>
      </c>
      <c r="T82" s="12" t="n">
        <v>0.1322</v>
      </c>
      <c r="U82" s="12" t="n">
        <v>0.07580000000000001</v>
      </c>
      <c r="V82" s="12" t="n">
        <v>0.0839</v>
      </c>
      <c r="W82" s="12" t="n">
        <v>0.0547</v>
      </c>
      <c r="X82" s="4" t="n">
        <v>-0.0005</v>
      </c>
      <c r="Y82" s="4" t="n">
        <v>0.0008</v>
      </c>
      <c r="Z82" s="4" t="n">
        <v>0.0017</v>
      </c>
      <c r="AA82" s="4" t="n">
        <v>0.0015</v>
      </c>
      <c r="AB82" s="4" t="n">
        <v>0.0041</v>
      </c>
      <c r="AC82" s="4" t="n">
        <v>0.0002</v>
      </c>
      <c r="AD82" s="4" t="n">
        <v>0.0009</v>
      </c>
      <c r="AE82" s="4" t="n">
        <v>0.0023</v>
      </c>
      <c r="AF82" s="4" t="n">
        <v>0.002</v>
      </c>
      <c r="AG82" s="4" t="n">
        <v>0.0025</v>
      </c>
      <c r="AH82" s="4" t="n">
        <v>0.0024</v>
      </c>
      <c r="AI82" s="4" t="n">
        <v>0.0011</v>
      </c>
      <c r="AJ82" s="4" t="n">
        <v>0.0004</v>
      </c>
      <c r="AK82" s="4" t="n">
        <v>0.0013</v>
      </c>
      <c r="AL82" s="4">
        <f>SUM(X82:AK82)</f>
        <v/>
      </c>
      <c r="AM82" s="4">
        <f>+AL82-B82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Holpe</dc:creator>
  <dcterms:created xsi:type="dcterms:W3CDTF">2025-09-03T14:34:36Z</dcterms:created>
  <dcterms:modified xsi:type="dcterms:W3CDTF">2025-11-05T18:54:03Z</dcterms:modified>
  <cp:lastModifiedBy>Microsoft Office User</cp:lastModifiedBy>
</cp:coreProperties>
</file>