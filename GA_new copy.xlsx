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20" tabRatio="600" firstSheet="0" activeTab="0" autoFilterDateGrouping="1"/>
  </bookViews>
  <sheets>
    <sheet name="GA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0"/>
    <numFmt numFmtId="166" formatCode="M/D/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4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9" fontId="0" fillId="0" borderId="0" pivotButton="0" quotePrefix="0" xfId="2"/>
    <xf numFmtId="0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3" fillId="4" borderId="0" pivotButton="0" quotePrefix="0" xfId="0"/>
    <xf numFmtId="10" fontId="0" fillId="0" borderId="0" pivotButton="0" quotePrefix="0" xfId="0"/>
    <xf numFmtId="0" fontId="0" fillId="5" borderId="0" pivotButton="0" quotePrefix="0" xfId="0"/>
    <xf numFmtId="164" fontId="0" fillId="0" borderId="0" pivotButton="0" quotePrefix="0" xfId="2"/>
    <xf numFmtId="0" fontId="0" fillId="6" borderId="0" pivotButton="0" quotePrefix="0" xfId="0"/>
    <xf numFmtId="10" fontId="4" fillId="0" borderId="0" pivotButton="0" quotePrefix="0" xfId="0"/>
    <xf numFmtId="9" fontId="0" fillId="0" borderId="0" pivotButton="0" quotePrefix="0" xfId="1"/>
    <xf numFmtId="164" fontId="0" fillId="0" borderId="0" pivotButton="0" quotePrefix="0" xfId="1"/>
    <xf numFmtId="10" fontId="0" fillId="0" borderId="0" pivotButton="0" quotePrefix="0" xfId="2"/>
    <xf numFmtId="10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GAM!$J$2</f>
              <strCache>
                <ptCount val="1"/>
                <pt idx="0">
                  <v>PDBC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GAM!$J$3:$J$75</f>
              <numCache>
                <formatCode>0%</formatCode>
                <ptCount val="73"/>
                <pt idx="0">
                  <formatCode>0.00%</formatCode>
                  <v>0.00772208269352324</v>
                </pt>
                <pt idx="1">
                  <v>0.0117594787089121</v>
                </pt>
                <pt idx="2">
                  <v>0.00678146725660966</v>
                </pt>
                <pt idx="3">
                  <v>0.008934010596428701</v>
                </pt>
                <pt idx="4">
                  <v>0.0100698995261841</v>
                </pt>
                <pt idx="5">
                  <v>0.0233509859853286</v>
                </pt>
                <pt idx="6">
                  <v>0.0725563170285288</v>
                </pt>
                <pt idx="7">
                  <v>0</v>
                </pt>
                <pt idx="8">
                  <v>0</v>
                </pt>
                <pt idx="9">
                  <v>0.00254346007560778</v>
                </pt>
                <pt idx="10">
                  <v>0</v>
                </pt>
                <pt idx="11">
                  <v>0.00400935377534554</v>
                </pt>
                <pt idx="12">
                  <v>0.0349429470459329</v>
                </pt>
                <pt idx="13">
                  <v>0.0389712748950514</v>
                </pt>
                <pt idx="14">
                  <v>0.114581917645374</v>
                </pt>
                <pt idx="15">
                  <v>0.08933402496361199</v>
                </pt>
                <pt idx="16">
                  <v>0.07869540626105199</v>
                </pt>
                <pt idx="17">
                  <v>0.132122493555971</v>
                </pt>
                <pt idx="18">
                  <v>0.214890347287428</v>
                </pt>
                <pt idx="19">
                  <v>0.335438310417539</v>
                </pt>
                <pt idx="20">
                  <v>0.353180232102359</v>
                </pt>
                <pt idx="21">
                  <v>0.207519539505122</v>
                </pt>
                <pt idx="22">
                  <v>0.18338540276222</v>
                </pt>
                <pt idx="23">
                  <v>0.182249653484202</v>
                </pt>
                <pt idx="24">
                  <v>0.263029484346368</v>
                </pt>
                <pt idx="25">
                  <v>0.196711865239849</v>
                </pt>
                <pt idx="26">
                  <v>0.09987885118964809</v>
                </pt>
                <pt idx="27">
                  <v>0.170678979276171</v>
                </pt>
                <pt idx="28">
                  <v>0.188775708917211</v>
                </pt>
                <pt idx="29">
                  <v>0.116638440769094</v>
                </pt>
                <pt idx="30">
                  <v>0.122773902795063</v>
                </pt>
                <pt idx="31">
                  <v>0.19625752129123</v>
                </pt>
                <pt idx="32">
                  <v>0.253158819060936</v>
                </pt>
                <pt idx="33">
                  <v>0.122842605180162</v>
                </pt>
                <pt idx="34">
                  <v>0.117960669154869</v>
                </pt>
                <pt idx="35">
                  <v>0.126942350724113</v>
                </pt>
                <pt idx="36">
                  <v>0.193024200557051</v>
                </pt>
                <pt idx="37">
                  <v>0.16905505751096</v>
                </pt>
                <pt idx="38">
                  <v>0.162506495646965</v>
                </pt>
                <pt idx="39">
                  <v>0.173769312988131</v>
                </pt>
                <pt idx="40">
                  <v>0.306828317855154</v>
                </pt>
                <pt idx="41">
                  <v>0.199171759442583</v>
                </pt>
                <pt idx="42">
                  <v>0.178676602818793</v>
                </pt>
                <pt idx="43">
                  <v>0.07788924974961429</v>
                </pt>
                <pt idx="44">
                  <v>0.046456885628684</v>
                </pt>
                <pt idx="45">
                  <v>0.0215182133365282</v>
                </pt>
                <pt idx="46">
                  <v>0.00878337586724233</v>
                </pt>
                <pt idx="47">
                  <v>0.0012956789374988</v>
                </pt>
                <pt idx="48">
                  <v>0.003206461354231</v>
                </pt>
                <pt idx="49">
                  <v>0.0732144093330787</v>
                </pt>
                <pt idx="50">
                  <v>0.155186667130456</v>
                </pt>
                <pt idx="51">
                  <v>0.294024796093663</v>
                </pt>
                <pt idx="52">
                  <v>0.180383362948855</v>
                </pt>
                <pt idx="53">
                  <v>0.06262439970263139</v>
                </pt>
                <pt idx="54">
                  <v>0.007822955863113761</v>
                </pt>
                <pt idx="55">
                  <v>0.0265432417834085</v>
                </pt>
                <pt idx="56">
                  <v>0.032669745987773</v>
                </pt>
                <pt idx="57">
                  <v>0.0570084088753789</v>
                </pt>
                <pt idx="58">
                  <v>0.164817701875252</v>
                </pt>
                <pt idx="59">
                  <v>0.0975576427167185</v>
                </pt>
                <pt idx="60">
                  <v>0.054855104888892</v>
                </pt>
                <pt idx="61">
                  <v>0.00651830252777323</v>
                </pt>
                <pt idx="62">
                  <v>0.0025491524477426</v>
                </pt>
                <pt idx="63">
                  <v>0</v>
                </pt>
                <pt idx="64">
                  <v>0.0265387068769506</v>
                </pt>
                <pt idx="65">
                  <v>0.0122442199647471</v>
                </pt>
                <pt idx="66">
                  <v>0.069489134662695</v>
                </pt>
                <pt idx="67">
                  <v>0.131237448340768</v>
                </pt>
                <pt idx="68">
                  <v>0.0827835595561114</v>
                </pt>
                <pt idx="69">
                  <v>0.182362412774258</v>
                </pt>
                <pt idx="70">
                  <v>0.0269723506659356</v>
                </pt>
                <pt idx="71">
                  <v>0.0343134344446713</v>
                </pt>
                <pt idx="72">
                  <v>0.0874818724660259</v>
                </pt>
              </numCache>
            </numRef>
          </val>
        </ser>
        <ser>
          <idx val="1"/>
          <order val="1"/>
          <tx>
            <strRef>
              <f>GAM!$K$2</f>
              <strCache>
                <ptCount val="1"/>
                <pt idx="0">
                  <v>VWO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GAM!$K$3:$K$75</f>
              <numCache>
                <formatCode>0%</formatCode>
                <ptCount val="73"/>
                <pt idx="0">
                  <formatCode>0.00%</formatCode>
                  <v>0.0258946667397794</v>
                </pt>
                <pt idx="1">
                  <v>0.0247300591370891</v>
                </pt>
                <pt idx="2">
                  <v>0.025951229564221</v>
                </pt>
                <pt idx="3">
                  <v>0.0144439107240839</v>
                </pt>
                <pt idx="4">
                  <v>0.0546853739700659</v>
                </pt>
                <pt idx="5">
                  <v>0.0874341560711112</v>
                </pt>
                <pt idx="6">
                  <v>0.126235784894163</v>
                </pt>
                <pt idx="7">
                  <v>0.0410437246759953</v>
                </pt>
                <pt idx="8">
                  <v>0.031605455576284</v>
                </pt>
                <pt idx="9">
                  <v>0.0262440736496185</v>
                </pt>
                <pt idx="10">
                  <v>0.0265682757023705</v>
                </pt>
                <pt idx="11">
                  <v>0.0267837052313412</v>
                </pt>
                <pt idx="12">
                  <v>0.0693582828600135</v>
                </pt>
                <pt idx="13">
                  <v>0.0616305755877646</v>
                </pt>
                <pt idx="14">
                  <v>0.104460997781396</v>
                </pt>
                <pt idx="15">
                  <v>0.123495931272374</v>
                </pt>
                <pt idx="16">
                  <v>0.199276289528471</v>
                </pt>
                <pt idx="17">
                  <v>0.245410215933034</v>
                </pt>
                <pt idx="18">
                  <v>0.232435322877697</v>
                </pt>
                <pt idx="19">
                  <v>0.177058323413894</v>
                </pt>
                <pt idx="20">
                  <v>0.123876332167826</v>
                </pt>
                <pt idx="21">
                  <v>0.112546890222867</v>
                </pt>
                <pt idx="22">
                  <v>0.0886673786334007</v>
                </pt>
                <pt idx="23">
                  <v>0.08474129590538181</v>
                </pt>
                <pt idx="24">
                  <v>0.0926697951956315</v>
                </pt>
                <pt idx="25">
                  <v>0.045505445775986</v>
                </pt>
                <pt idx="26">
                  <v>0.0374652969565121</v>
                </pt>
                <pt idx="27">
                  <v>0.0500384408292456</v>
                </pt>
                <pt idx="28">
                  <v>0.0229114086729843</v>
                </pt>
                <pt idx="29">
                  <v>0.00985522338370729</v>
                </pt>
                <pt idx="30">
                  <v>0.007876926372748399</v>
                </pt>
                <pt idx="31">
                  <v>0.0201471881819568</v>
                </pt>
                <pt idx="32">
                  <v>0.0256693904587569</v>
                </pt>
                <pt idx="33">
                  <v>0.008535892706788549</v>
                </pt>
                <pt idx="34">
                  <v>0.0144636920591274</v>
                </pt>
                <pt idx="35">
                  <v>0.028134832824093</v>
                </pt>
                <pt idx="36">
                  <v>0.0528384602453756</v>
                </pt>
                <pt idx="37">
                  <v>0.0219915864570702</v>
                </pt>
                <pt idx="38">
                  <v>0.101326531920105</v>
                </pt>
                <pt idx="39">
                  <v>0.0320295878243076</v>
                </pt>
                <pt idx="40">
                  <v>0.0319815414521566</v>
                </pt>
                <pt idx="41">
                  <v>0.109511686143464</v>
                </pt>
                <pt idx="42">
                  <v>0.10428196363274</v>
                </pt>
                <pt idx="43">
                  <v>0.123662211299824</v>
                </pt>
                <pt idx="44">
                  <v>0.0686114009612986</v>
                </pt>
                <pt idx="45">
                  <v>0.120819100890492</v>
                </pt>
                <pt idx="46">
                  <v>0.111714951243678</v>
                </pt>
                <pt idx="47">
                  <v>0.0676327746748096</v>
                </pt>
                <pt idx="48">
                  <v>0.102105808210278</v>
                </pt>
                <pt idx="49">
                  <v>0.111138618800289</v>
                </pt>
                <pt idx="50">
                  <v>0.0392286884074811</v>
                </pt>
                <pt idx="51">
                  <v>0.0613940125415931</v>
                </pt>
                <pt idx="52">
                  <v>0.0542944723160922</v>
                </pt>
                <pt idx="53">
                  <v>0.0985012933721303</v>
                </pt>
                <pt idx="54">
                  <v>0.0511684811587521</v>
                </pt>
                <pt idx="55">
                  <v>0.0257038196721193</v>
                </pt>
                <pt idx="56">
                  <v>0.0777704635748994</v>
                </pt>
                <pt idx="57">
                  <v>0.07291441921943689</v>
                </pt>
                <pt idx="58">
                  <v>0.103517853979827</v>
                </pt>
                <pt idx="59">
                  <v>0.124414239770951</v>
                </pt>
                <pt idx="60">
                  <v>0.161492047115239</v>
                </pt>
                <pt idx="61">
                  <v>0.0812562770999245</v>
                </pt>
                <pt idx="62">
                  <v>0.0448519216826597</v>
                </pt>
                <pt idx="63">
                  <v>0.0636659522373261</v>
                </pt>
                <pt idx="64">
                  <v>0.0893251242765674</v>
                </pt>
                <pt idx="65">
                  <v>0.0460938674505554</v>
                </pt>
                <pt idx="66">
                  <v>0.08374945915670461</v>
                </pt>
                <pt idx="67">
                  <v>0.0646782585884343</v>
                </pt>
                <pt idx="68">
                  <v>0.0660075867241854</v>
                </pt>
                <pt idx="69">
                  <v>0.08007403938272339</v>
                </pt>
                <pt idx="70">
                  <v>0.0784245824747427</v>
                </pt>
                <pt idx="71">
                  <v>0.102676418951072</v>
                </pt>
                <pt idx="72">
                  <v>0.176816049941875</v>
                </pt>
              </numCache>
            </numRef>
          </val>
        </ser>
        <ser>
          <idx val="2"/>
          <order val="2"/>
          <tx>
            <strRef>
              <f>GAM!$L$2</f>
              <strCache>
                <ptCount val="1"/>
                <pt idx="0">
                  <v>IAU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GAM!$L$3:$L$75</f>
              <numCache>
                <formatCode>0%</formatCode>
                <ptCount val="73"/>
                <pt idx="0">
                  <formatCode>0.00%</formatCode>
                  <v>0.281502308489685</v>
                </pt>
                <pt idx="1">
                  <v>0.176871037023368</v>
                </pt>
                <pt idx="2">
                  <v>0.230644368035894</v>
                </pt>
                <pt idx="3">
                  <v>0.196531365155583</v>
                </pt>
                <pt idx="4">
                  <v>0.222930776368384</v>
                </pt>
                <pt idx="5">
                  <v>0.105683465778943</v>
                </pt>
                <pt idx="6">
                  <v>0.194736743943351</v>
                </pt>
                <pt idx="7">
                  <v>0.292652207414063</v>
                </pt>
                <pt idx="8">
                  <v>0.409382683040019</v>
                </pt>
                <pt idx="9">
                  <v>0.582516487333561</v>
                </pt>
                <pt idx="10">
                  <v>0.560257223061318</v>
                </pt>
                <pt idx="11">
                  <v>0.568378758120578</v>
                </pt>
                <pt idx="12">
                  <v>0.39092355181348</v>
                </pt>
                <pt idx="13">
                  <v>0.460126496770861</v>
                </pt>
                <pt idx="14">
                  <v>0.221693332709791</v>
                </pt>
                <pt idx="15">
                  <v>0.153592958801544</v>
                </pt>
                <pt idx="16">
                  <v>0.181661969584877</v>
                </pt>
                <pt idx="17">
                  <v>0.162814917454504</v>
                </pt>
                <pt idx="18">
                  <v>0.15085989010592</v>
                </pt>
                <pt idx="19">
                  <v>0.122124478039086</v>
                </pt>
                <pt idx="20">
                  <v>0.0585445428404495</v>
                </pt>
                <pt idx="21">
                  <v>0.0529248567882996</v>
                </pt>
                <pt idx="22">
                  <v>0.0594410846365811</v>
                </pt>
                <pt idx="23">
                  <v>0.138879686453762</v>
                </pt>
                <pt idx="24">
                  <v>0.0294472859800497</v>
                </pt>
                <pt idx="25">
                  <v>0.0490070452972608</v>
                </pt>
                <pt idx="26">
                  <v>0.0446563495969068</v>
                </pt>
                <pt idx="27">
                  <v>0.0586063316253123</v>
                </pt>
                <pt idx="28">
                  <v>0.0304623919341829</v>
                </pt>
                <pt idx="29">
                  <v>0.101177127309972</v>
                </pt>
                <pt idx="30">
                  <v>0.200694640207594</v>
                </pt>
                <pt idx="31">
                  <v>0.294104050818247</v>
                </pt>
                <pt idx="32">
                  <v>0.387337236481273</v>
                </pt>
                <pt idx="33">
                  <v>0.371474202655468</v>
                </pt>
                <pt idx="34">
                  <v>0.430035805171293</v>
                </pt>
                <pt idx="35">
                  <v>0.435843134624911</v>
                </pt>
                <pt idx="36">
                  <v>0.537364944098259</v>
                </pt>
                <pt idx="37">
                  <v>0.354493322460911</v>
                </pt>
                <pt idx="38">
                  <v>0.314004404590579</v>
                </pt>
                <pt idx="39">
                  <v>0.391583496018617</v>
                </pt>
                <pt idx="40">
                  <v>0.29664184044881</v>
                </pt>
                <pt idx="41">
                  <v>0.304324742854744</v>
                </pt>
                <pt idx="42">
                  <v>0.391012773210132</v>
                </pt>
                <pt idx="43">
                  <v>0.396478965235284</v>
                </pt>
                <pt idx="44">
                  <v>0.272514507643598</v>
                </pt>
                <pt idx="45">
                  <v>0.311146064105332</v>
                </pt>
                <pt idx="46">
                  <v>0.280106365270261</v>
                </pt>
                <pt idx="47">
                  <v>0.277644944948982</v>
                </pt>
                <pt idx="48">
                  <v>0.191837707913858</v>
                </pt>
                <pt idx="49">
                  <v>0.213600921083757</v>
                </pt>
                <pt idx="50">
                  <v>0.216992796640706</v>
                </pt>
                <pt idx="51">
                  <v>0.129530456210034</v>
                </pt>
                <pt idx="52">
                  <v>0.297409114177801</v>
                </pt>
                <pt idx="53">
                  <v>0.35055372280993</v>
                </pt>
                <pt idx="54">
                  <v>0.229297035809785</v>
                </pt>
                <pt idx="55">
                  <v>0.213824099761255</v>
                </pt>
                <pt idx="56">
                  <v>0.117642476758053</v>
                </pt>
                <pt idx="57">
                  <v>0.259144811178111</v>
                </pt>
                <pt idx="58">
                  <v>0.249959814060037</v>
                </pt>
                <pt idx="59">
                  <v>0.209445600487223</v>
                </pt>
                <pt idx="60">
                  <v>0.163535005692874</v>
                </pt>
                <pt idx="61">
                  <v>0.17910682298974</v>
                </pt>
                <pt idx="62">
                  <v>0.232642246577438</v>
                </pt>
                <pt idx="63">
                  <v>0.29528271818211</v>
                </pt>
                <pt idx="64">
                  <v>0.370433819556428</v>
                </pt>
                <pt idx="65">
                  <v>0.200534867946944</v>
                </pt>
                <pt idx="66">
                  <v>0.213883766077201</v>
                </pt>
                <pt idx="67">
                  <v>0.235428419101352</v>
                </pt>
                <pt idx="68">
                  <v>0.29947072972799</v>
                </pt>
                <pt idx="69">
                  <v>0.312740201609884</v>
                </pt>
                <pt idx="70">
                  <v>0.420623005337532</v>
                </pt>
                <pt idx="71">
                  <v>0.391826541011634</v>
                </pt>
                <pt idx="72">
                  <v>0.301421423780576</v>
                </pt>
              </numCache>
            </numRef>
          </val>
        </ser>
        <ser>
          <idx val="3"/>
          <order val="3"/>
          <tx>
            <strRef>
              <f>GAM!$M$2</f>
              <strCache>
                <ptCount val="1"/>
                <pt idx="0">
                  <v>VEA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val>
            <numRef>
              <f>GAM!$M$3:$M$75</f>
              <numCache>
                <formatCode>0%</formatCode>
                <ptCount val="73"/>
                <pt idx="0">
                  <formatCode>0.00%</formatCode>
                  <v>0.075984343997131</v>
                </pt>
                <pt idx="1">
                  <v>0.0552127168166485</v>
                </pt>
                <pt idx="2">
                  <v>0.0579396545051719</v>
                </pt>
                <pt idx="3">
                  <v>0.08134514385500349</v>
                </pt>
                <pt idx="4">
                  <v>0.0921881620746384</v>
                </pt>
                <pt idx="5">
                  <v>0.181839815869213</v>
                </pt>
                <pt idx="6">
                  <v>0.1344034524627</v>
                </pt>
                <pt idx="7">
                  <v>0.0960101850781843</v>
                </pt>
                <pt idx="8">
                  <v>0.0227121532608429</v>
                </pt>
                <pt idx="9">
                  <v>0.0198456418615153</v>
                </pt>
                <pt idx="10">
                  <v>0.0224149256954875</v>
                </pt>
                <pt idx="11">
                  <v>0.0367065503902107</v>
                </pt>
                <pt idx="12">
                  <v>0.0316911348257787</v>
                </pt>
                <pt idx="13">
                  <v>0.0224991487193359</v>
                </pt>
                <pt idx="14">
                  <v>0.0391311492515822</v>
                </pt>
                <pt idx="15">
                  <v>0.0696586594170666</v>
                </pt>
                <pt idx="16">
                  <v>0.055511468785235</v>
                </pt>
                <pt idx="17">
                  <v>0.09574139672606791</v>
                </pt>
                <pt idx="18">
                  <v>0.114226777956842</v>
                </pt>
                <pt idx="19">
                  <v>0.112435558187643</v>
                </pt>
                <pt idx="20">
                  <v>0.127967750225121</v>
                </pt>
                <pt idx="21">
                  <v>0.20656038946921</v>
                </pt>
                <pt idx="22">
                  <v>0.161334306502571</v>
                </pt>
                <pt idx="23">
                  <v>0.180465387866333</v>
                </pt>
                <pt idx="24">
                  <v>0.0960359904183597</v>
                </pt>
                <pt idx="25">
                  <v>0.07661069242261639</v>
                </pt>
                <pt idx="26">
                  <v>0.0904956303315595</v>
                </pt>
                <pt idx="27">
                  <v>0.103718001603538</v>
                </pt>
                <pt idx="28">
                  <v>0.103498721526527</v>
                </pt>
                <pt idx="29">
                  <v>0.0648731481746891</v>
                </pt>
                <pt idx="30">
                  <v>0.0827891572934802</v>
                </pt>
                <pt idx="31">
                  <v>0.0569460776314919</v>
                </pt>
                <pt idx="32">
                  <v>0.0401276561114918</v>
                </pt>
                <pt idx="33">
                  <v>0.08594742139927571</v>
                </pt>
                <pt idx="34">
                  <v>0.0928909574568355</v>
                </pt>
                <pt idx="35">
                  <v>0.0933055090729451</v>
                </pt>
                <pt idx="36">
                  <v>0.0341519111503648</v>
                </pt>
                <pt idx="37">
                  <v>0.06563450329825</v>
                </pt>
                <pt idx="38">
                  <v>0.0465715067130286</v>
                </pt>
                <pt idx="39">
                  <v>0.0390349644855831</v>
                </pt>
                <pt idx="40">
                  <v>0.0882349766572037</v>
                </pt>
                <pt idx="41">
                  <v>0.171182431251972</v>
                </pt>
                <pt idx="42">
                  <v>0.170767582531487</v>
                </pt>
                <pt idx="43">
                  <v>0.21549940033736</v>
                </pt>
                <pt idx="44">
                  <v>0.286493906681103</v>
                </pt>
                <pt idx="45">
                  <v>0.263025591214916</v>
                </pt>
                <pt idx="46">
                  <v>0.276592519805543</v>
                </pt>
                <pt idx="47">
                  <v>0.226844627566191</v>
                </pt>
                <pt idx="48">
                  <v>0.26480501273287</v>
                </pt>
                <pt idx="49">
                  <v>0.16278808265959</v>
                </pt>
                <pt idx="50">
                  <v>0.109176025666791</v>
                </pt>
                <pt idx="51">
                  <v>0.103933202699394</v>
                </pt>
                <pt idx="52">
                  <v>0.0753632801127629</v>
                </pt>
                <pt idx="53">
                  <v>0.134063108661949</v>
                </pt>
                <pt idx="54">
                  <v>0.202039054960674</v>
                </pt>
                <pt idx="55">
                  <v>0.223215884934</v>
                </pt>
                <pt idx="56">
                  <v>0.301860289959274</v>
                </pt>
                <pt idx="57">
                  <v>0.252131761724625</v>
                </pt>
                <pt idx="58">
                  <v>0.194679970440856</v>
                </pt>
                <pt idx="59">
                  <v>0.215128541373415</v>
                </pt>
                <pt idx="60">
                  <v>0.151576945989606</v>
                </pt>
                <pt idx="61">
                  <v>0.12254596310858</v>
                </pt>
                <pt idx="62">
                  <v>0.105372317427297</v>
                </pt>
                <pt idx="63">
                  <v>0.0505119719083261</v>
                </pt>
                <pt idx="64">
                  <v>0.0268570297225235</v>
                </pt>
                <pt idx="65">
                  <v>0.0278139522296525</v>
                </pt>
                <pt idx="66">
                  <v>0.035591476448886</v>
                </pt>
                <pt idx="67">
                  <v>0.108910345920026</v>
                </pt>
                <pt idx="68">
                  <v>0.159638629904874</v>
                </pt>
                <pt idx="69">
                  <v>0.142237527451625</v>
                </pt>
                <pt idx="70">
                  <v>0.169348486990557</v>
                </pt>
                <pt idx="71">
                  <v>0.21157223459759</v>
                </pt>
                <pt idx="72">
                  <v>0.205731507981038</v>
                </pt>
              </numCache>
            </numRef>
          </val>
        </ser>
        <ser>
          <idx val="4"/>
          <order val="4"/>
          <tx>
            <strRef>
              <f>GAM!$N$2</f>
              <strCache>
                <ptCount val="1"/>
                <pt idx="0">
                  <v>SPY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val>
            <numRef>
              <f>GAM!$N$3:$N$75</f>
              <numCache>
                <formatCode>0%</formatCode>
                <ptCount val="73"/>
                <pt idx="0">
                  <formatCode>0.00%</formatCode>
                  <v>0.112279135915614</v>
                </pt>
                <pt idx="1">
                  <v>0.145938119486516</v>
                </pt>
                <pt idx="2">
                  <v>0.08196076445542889</v>
                </pt>
                <pt idx="3">
                  <v>0.113019162834867</v>
                </pt>
                <pt idx="4">
                  <v>0.08897238088692901</v>
                </pt>
                <pt idx="5">
                  <v>0.263972389419401</v>
                </pt>
                <pt idx="6">
                  <v>0.287760770551366</v>
                </pt>
                <pt idx="7">
                  <v>0.280702469208583</v>
                </pt>
                <pt idx="8">
                  <v>0.139982173359671</v>
                </pt>
                <pt idx="9">
                  <v>0.0879990806473636</v>
                </pt>
                <pt idx="10">
                  <v>0.07577182992017931</v>
                </pt>
                <pt idx="11">
                  <v>0.09399115948066079</v>
                </pt>
                <pt idx="12">
                  <v>0.105067375029977</v>
                </pt>
                <pt idx="13">
                  <v>0.124097429427255</v>
                </pt>
                <pt idx="14">
                  <v>0.223537076604232</v>
                </pt>
                <pt idx="15">
                  <v>0.169911715413828</v>
                </pt>
                <pt idx="16">
                  <v>0.127207190809155</v>
                </pt>
                <pt idx="17">
                  <v>0.119814827072122</v>
                </pt>
                <pt idx="18">
                  <v>0.134043652062354</v>
                </pt>
                <pt idx="19">
                  <v>0.158135561457122</v>
                </pt>
                <pt idx="20">
                  <v>0.226240052082316</v>
                </pt>
                <pt idx="21">
                  <v>0.230414073617956</v>
                </pt>
                <pt idx="22">
                  <v>0.210391018385576</v>
                </pt>
                <pt idx="23">
                  <v>0.171799795967206</v>
                </pt>
                <pt idx="24">
                  <v>0.243979690445226</v>
                </pt>
                <pt idx="25">
                  <v>0.230605895949568</v>
                </pt>
                <pt idx="26">
                  <v>0.305197923976893</v>
                </pt>
                <pt idx="27">
                  <v>0.252093716036351</v>
                </pt>
                <pt idx="28">
                  <v>0.250151508648186</v>
                </pt>
                <pt idx="29">
                  <v>0.302071514952644</v>
                </pt>
                <pt idx="30">
                  <v>0.250609738689665</v>
                </pt>
                <pt idx="31">
                  <v>0.181678585760172</v>
                </pt>
                <pt idx="32">
                  <v>0.0916668975923883</v>
                </pt>
                <pt idx="33">
                  <v>0.159528162651983</v>
                </pt>
                <pt idx="34">
                  <v>0.114659604831228</v>
                </pt>
                <pt idx="35">
                  <v>0.134205023385725</v>
                </pt>
                <pt idx="36">
                  <v>0.0532704182719666</v>
                </pt>
                <pt idx="37">
                  <v>0.122491360815284</v>
                </pt>
                <pt idx="38">
                  <v>0.16218036680468</v>
                </pt>
                <pt idx="39">
                  <v>0.177464671898831</v>
                </pt>
                <pt idx="40">
                  <v>0.180206411185203</v>
                </pt>
                <pt idx="41">
                  <v>0.159166707956167</v>
                </pt>
                <pt idx="42">
                  <v>0.09059568905744569</v>
                </pt>
                <pt idx="43">
                  <v>0.0784197346991018</v>
                </pt>
                <pt idx="44">
                  <v>0.120741584395252</v>
                </pt>
                <pt idx="45">
                  <v>0.161930588391044</v>
                </pt>
                <pt idx="46">
                  <v>0.182510725071238</v>
                </pt>
                <pt idx="47">
                  <v>0.261244512582075</v>
                </pt>
                <pt idx="48">
                  <v>0.280059430374764</v>
                </pt>
                <pt idx="49">
                  <v>0.359086429018189</v>
                </pt>
                <pt idx="50">
                  <v>0.30225789019843</v>
                </pt>
                <pt idx="51">
                  <v>0.193423887811695</v>
                </pt>
                <pt idx="52">
                  <v>0.205460302310294</v>
                </pt>
                <pt idx="53">
                  <v>0.28128400320617</v>
                </pt>
                <pt idx="54">
                  <v>0.348270146047609</v>
                </pt>
                <pt idx="55">
                  <v>0.34997350007512</v>
                </pt>
                <pt idx="56">
                  <v>0.341229391290426</v>
                </pt>
                <pt idx="57">
                  <v>0.282190840825974</v>
                </pt>
                <pt idx="58">
                  <v>0.242635116323671</v>
                </pt>
                <pt idx="59">
                  <v>0.295158077679879</v>
                </pt>
                <pt idx="60">
                  <v>0.375253887432611</v>
                </pt>
                <pt idx="61">
                  <v>0.382104883421168</v>
                </pt>
                <pt idx="62">
                  <v>0.241731305021668</v>
                </pt>
                <pt idx="63">
                  <v>0.162534940514308</v>
                </pt>
                <pt idx="64">
                  <v>0.172645988164935</v>
                </pt>
                <pt idx="65">
                  <v>0.380938814885213</v>
                </pt>
                <pt idx="66">
                  <v>0.359979209547067</v>
                </pt>
                <pt idx="67">
                  <v>0.315540849704341</v>
                </pt>
                <pt idx="68">
                  <v>0.193931943742152</v>
                </pt>
                <pt idx="69">
                  <v>0.0420918504928111</v>
                </pt>
                <pt idx="70">
                  <v>0.0309035467108202</v>
                </pt>
                <pt idx="71">
                  <v>0.09786476250629959</v>
                </pt>
                <pt idx="72">
                  <v>0.122680174306962</v>
                </pt>
              </numCache>
            </numRef>
          </val>
        </ser>
        <ser>
          <idx val="5"/>
          <order val="5"/>
          <tx>
            <strRef>
              <f>GAM!$O$2</f>
              <strCache>
                <ptCount val="1"/>
                <pt idx="0">
                  <v>SPTL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GAM!$O$3:$O$75</f>
              <numCache>
                <formatCode>0%</formatCode>
                <ptCount val="73"/>
                <pt idx="0">
                  <formatCode>0.00%</formatCode>
                  <v>0.348739273373792</v>
                </pt>
                <pt idx="1">
                  <v>0.384762548025841</v>
                </pt>
                <pt idx="2">
                  <v>0.322665725325707</v>
                </pt>
                <pt idx="3">
                  <v>0.235113773610048</v>
                </pt>
                <pt idx="4">
                  <v>0.16322036830796</v>
                </pt>
                <pt idx="5">
                  <v>0.09461807911676071</v>
                </pt>
                <pt idx="6">
                  <v>0.036856521277134</v>
                </pt>
                <pt idx="7">
                  <v>0.122754227821591</v>
                </pt>
                <pt idx="8">
                  <v>0.343428968387078</v>
                </pt>
                <pt idx="9">
                  <v>0.265052537249932</v>
                </pt>
                <pt idx="10">
                  <v>0.300288404628877</v>
                </pt>
                <pt idx="11">
                  <v>0.253810877897793</v>
                </pt>
                <pt idx="12">
                  <v>0.360410095699612</v>
                </pt>
                <pt idx="13">
                  <v>0.283967746278868</v>
                </pt>
                <pt idx="14">
                  <v>0.2858414752356</v>
                </pt>
                <pt idx="15">
                  <v>0.364882567936804</v>
                </pt>
                <pt idx="16">
                  <v>0.320810365881858</v>
                </pt>
                <pt idx="17">
                  <v>0.200564312702334</v>
                </pt>
                <pt idx="18">
                  <v>0.0960186568078423</v>
                </pt>
                <pt idx="19">
                  <v>0.0204675575389404</v>
                </pt>
                <pt idx="20">
                  <v>0.00618873780238245</v>
                </pt>
                <pt idx="21">
                  <v>0</v>
                </pt>
                <pt idx="22">
                  <v>0</v>
                </pt>
                <pt idx="23">
                  <v>0.00268275013011479</v>
                </pt>
                <pt idx="24">
                  <v>0.0520850605529529</v>
                </pt>
                <pt idx="25">
                  <v>0.157365659647599</v>
                </pt>
                <pt idx="26">
                  <v>0.142486721402662</v>
                </pt>
                <pt idx="27">
                  <v>0.143291193091963</v>
                </pt>
                <pt idx="28">
                  <v>0.140353042690658</v>
                </pt>
                <pt idx="29">
                  <v>0.216601448869418</v>
                </pt>
                <pt idx="30">
                  <v>0.132058616336651</v>
                </pt>
                <pt idx="31">
                  <v>0.100934506505194</v>
                </pt>
                <pt idx="32">
                  <v>0.133617364950836</v>
                </pt>
                <pt idx="33">
                  <v>0.0506946579067905</v>
                </pt>
                <pt idx="34">
                  <v>0.0234665165726615</v>
                </pt>
                <pt idx="35">
                  <v>0.0121835060028005</v>
                </pt>
                <pt idx="36">
                  <v>0.0389727797209617</v>
                </pt>
                <pt idx="37">
                  <v>0.0943463565242036</v>
                </pt>
                <pt idx="38">
                  <v>0.0835001040800095</v>
                </pt>
                <pt idx="39">
                  <v>0.101336851511952</v>
                </pt>
                <pt idx="40">
                  <v>0.00804958731958305</v>
                </pt>
                <pt idx="41">
                  <v>0.00442758078919851</v>
                </pt>
                <pt idx="42">
                  <v>0.0227518178617684</v>
                </pt>
                <pt idx="43">
                  <v>0.0369375355827844</v>
                </pt>
                <pt idx="44">
                  <v>0.0388549671664522</v>
                </pt>
                <pt idx="45">
                  <v>0.0614265720756708</v>
                </pt>
                <pt idx="46">
                  <v>0.08889867048989269</v>
                </pt>
                <pt idx="47">
                  <v>0.0676987648617087</v>
                </pt>
                <pt idx="48">
                  <v>0.0417845696840391</v>
                </pt>
                <pt idx="49">
                  <v>0.00641219411488706</v>
                </pt>
                <pt idx="50">
                  <v>0.00140062421765693</v>
                </pt>
                <pt idx="51">
                  <v>0.00368343024891703</v>
                </pt>
                <pt idx="52">
                  <v>0.00128382949875023</v>
                </pt>
                <pt idx="53">
                  <v>0.0017256526582389</v>
                </pt>
                <pt idx="54">
                  <v>0.0358005530043329</v>
                </pt>
                <pt idx="55">
                  <v>0.0571415351729482</v>
                </pt>
                <pt idx="56">
                  <v>0.0267736868907386</v>
                </pt>
                <pt idx="57">
                  <v>0.0202055306247734</v>
                </pt>
                <pt idx="58">
                  <v>0.0060546999360539</v>
                </pt>
                <pt idx="59">
                  <v>0.00531439502325083</v>
                </pt>
                <pt idx="60">
                  <v>0.0176858106970206</v>
                </pt>
                <pt idx="61">
                  <v>0.06313165421334679</v>
                </pt>
                <pt idx="62">
                  <v>0.104466516512268</v>
                </pt>
                <pt idx="63">
                  <v>0.137126808923731</v>
                </pt>
                <pt idx="64">
                  <v>0.0480265451889365</v>
                </pt>
                <pt idx="65">
                  <v>0.0774449204409271</v>
                </pt>
                <pt idx="66">
                  <v>0.0163348975605994</v>
                </pt>
                <pt idx="67">
                  <v>0.0042808000621302</v>
                </pt>
                <pt idx="68">
                  <v>0.0826230702819558</v>
                </pt>
                <pt idx="69">
                  <v>0.09112866292076351</v>
                </pt>
                <pt idx="70">
                  <v>0.104132535182671</v>
                </pt>
                <pt idx="71">
                  <v>0.0362539066596022</v>
                </pt>
                <pt idx="72">
                  <v>0.0370425073375307</v>
                </pt>
              </numCache>
            </numRef>
          </val>
        </ser>
        <ser>
          <idx val="6"/>
          <order val="6"/>
          <tx>
            <strRef>
              <f>GAM!$P$2</f>
              <strCache>
                <ptCount val="1"/>
                <pt idx="0">
                  <v>VNQ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GAM!$P$3:$P$75</f>
              <numCache>
                <formatCode>0%</formatCode>
                <ptCount val="73"/>
                <pt idx="0">
                  <formatCode>0.00%</formatCode>
                  <v>0.147878188790474</v>
                </pt>
                <pt idx="1">
                  <v>0.200726040801624</v>
                </pt>
                <pt idx="2">
                  <v>0.274056790856966</v>
                </pt>
                <pt idx="3">
                  <v>0.350612633223984</v>
                </pt>
                <pt idx="4">
                  <v>0.367933038865837</v>
                </pt>
                <pt idx="5">
                  <v>0.243101107759241</v>
                </pt>
                <pt idx="6">
                  <v>0.147450409842754</v>
                </pt>
                <pt idx="7">
                  <v>0.166837185801581</v>
                </pt>
                <pt idx="8">
                  <v>0.0528885663761036</v>
                </pt>
                <pt idx="9">
                  <v>0.0157987191824005</v>
                </pt>
                <pt idx="10">
                  <v>0.014699340991767</v>
                </pt>
                <pt idx="11">
                  <v>0.0163195951040689</v>
                </pt>
                <pt idx="12">
                  <v>0.00760661272520485</v>
                </pt>
                <pt idx="13">
                  <v>0.008707328320863071</v>
                </pt>
                <pt idx="14">
                  <v>0.010754050772021</v>
                </pt>
                <pt idx="15">
                  <v>0.0291241421947687</v>
                </pt>
                <pt idx="16">
                  <v>0.0368373091493502</v>
                </pt>
                <pt idx="17">
                  <v>0.043531836555966</v>
                </pt>
                <pt idx="18">
                  <v>0.0575253529019141</v>
                </pt>
                <pt idx="19">
                  <v>0.07434021094577439</v>
                </pt>
                <pt idx="20">
                  <v>0.104002352779543</v>
                </pt>
                <pt idx="21">
                  <v>0.190034250396543</v>
                </pt>
                <pt idx="22">
                  <v>0.296780809079649</v>
                </pt>
                <pt idx="23">
                  <v>0.239181430192998</v>
                </pt>
                <pt idx="24">
                  <v>0.22275269306141</v>
                </pt>
                <pt idx="25">
                  <v>0.244193395667118</v>
                </pt>
                <pt idx="26">
                  <v>0.279819226545817</v>
                </pt>
                <pt idx="27">
                  <v>0.221573337537417</v>
                </pt>
                <pt idx="28">
                  <v>0.263847217610249</v>
                </pt>
                <pt idx="29">
                  <v>0.188783096540474</v>
                </pt>
                <pt idx="30">
                  <v>0.203197018304796</v>
                </pt>
                <pt idx="31">
                  <v>0.149932069811706</v>
                </pt>
                <pt idx="32">
                  <v>0.0684226353443155</v>
                </pt>
                <pt idx="33">
                  <v>0.20097705749953</v>
                </pt>
                <pt idx="34">
                  <v>0.206522754753983</v>
                </pt>
                <pt idx="35">
                  <v>0.16938564336541</v>
                </pt>
                <pt idx="36">
                  <v>0.0903772859560205</v>
                </pt>
                <pt idx="37">
                  <v>0.171987812933319</v>
                </pt>
                <pt idx="38">
                  <v>0.129910590244631</v>
                </pt>
                <pt idx="39">
                  <v>0.0847811152725758</v>
                </pt>
                <pt idx="40">
                  <v>0.08805732508188879</v>
                </pt>
                <pt idx="41">
                  <v>0.0522150915618685</v>
                </pt>
                <pt idx="42">
                  <v>0.0419135708876318</v>
                </pt>
                <pt idx="43">
                  <v>0.0251914854264622</v>
                </pt>
                <pt idx="44">
                  <v>0.047946665820049</v>
                </pt>
                <pt idx="45">
                  <v>0.0163008455004276</v>
                </pt>
                <pt idx="46">
                  <v>0.0268736214955868</v>
                </pt>
                <pt idx="47">
                  <v>0.0110705560720998</v>
                </pt>
                <pt idx="48">
                  <v>0.0726862737770069</v>
                </pt>
                <pt idx="49">
                  <v>0.0692994829059894</v>
                </pt>
                <pt idx="50">
                  <v>0.0740919015061403</v>
                </pt>
                <pt idx="51">
                  <v>0.0217432241819172</v>
                </pt>
                <pt idx="52">
                  <v>0.0216964189785451</v>
                </pt>
                <pt idx="53">
                  <v>0.0521047500665277</v>
                </pt>
                <pt idx="54">
                  <v>0.12024798947209</v>
                </pt>
                <pt idx="55">
                  <v>0.0851335975106205</v>
                </pt>
                <pt idx="56">
                  <v>0.0867353030558152</v>
                </pt>
                <pt idx="57">
                  <v>0.0539587725504748</v>
                </pt>
                <pt idx="58">
                  <v>0.018947739465266</v>
                </pt>
                <pt idx="59">
                  <v>0.0435278127755568</v>
                </pt>
                <pt idx="60">
                  <v>0.07016968080662619</v>
                </pt>
                <pt idx="61">
                  <v>0.16103079192601</v>
                </pt>
                <pt idx="62">
                  <v>0.266840588452228</v>
                </pt>
                <pt idx="63">
                  <v>0.290877608234197</v>
                </pt>
                <pt idx="64">
                  <v>0.233555022235108</v>
                </pt>
                <pt idx="65">
                  <v>0.218769780199626</v>
                </pt>
                <pt idx="66">
                  <v>0.0983330694863622</v>
                </pt>
                <pt idx="67">
                  <v>0.0713745188544488</v>
                </pt>
                <pt idx="68">
                  <v>0.115544480062729</v>
                </pt>
                <pt idx="69">
                  <v>0.0787062806060117</v>
                </pt>
                <pt idx="70">
                  <v>0.06308382267749529</v>
                </pt>
                <pt idx="71">
                  <v>0.0697550119472173</v>
                </pt>
                <pt idx="72">
                  <v>0.0408509197845757</v>
                </pt>
              </numCache>
            </numRef>
          </val>
        </ser>
        <ser>
          <idx val="7"/>
          <order val="7"/>
          <tx>
            <strRef>
              <f>GAM!$Q$2</f>
              <strCache>
                <ptCount val="1"/>
                <pt idx="0">
                  <v>USFR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GAM!$Q$3:$Q$75</f>
              <numCache>
                <formatCode>0%</formatCode>
                <ptCount val="73"/>
                <pt idx="0">
                  <formatCode>0.00%</formatCode>
                  <v>0</v>
                </pt>
                <pt idx="1">
                  <v>0</v>
                </pt>
                <pt idx="2">
                  <v>0</v>
                </pt>
                <pt idx="3">
                  <v>1.77635683940025e-15</v>
                </pt>
                <pt idx="4">
                  <v>0</v>
                </pt>
                <pt idx="5">
                  <v>0</v>
                </pt>
                <pt idx="6">
                  <v>3.219646771412954e-15</v>
                </pt>
                <pt idx="7">
                  <v>2.331468351712829e-15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1.77635683940025e-15</v>
                </pt>
                <pt idx="12">
                  <v>0</v>
                </pt>
                <pt idx="13">
                  <v>0</v>
                </pt>
                <pt idx="14">
                  <v>3.885780586188048e-15</v>
                </pt>
                <pt idx="15">
                  <v>2.775557561562891e-15</v>
                </pt>
                <pt idx="16">
                  <v>0</v>
                </pt>
                <pt idx="17">
                  <v>0</v>
                </pt>
                <pt idx="18">
                  <v>2.55351295663786e-15</v>
                </pt>
                <pt idx="19">
                  <v>0</v>
                </pt>
                <pt idx="20">
                  <v>3.108624468950438e-15</v>
                </pt>
                <pt idx="21">
                  <v>2.442490654175344e-15</v>
                </pt>
                <pt idx="22">
                  <v>2.109423746787797e-15</v>
                </pt>
                <pt idx="23">
                  <v>2.442490654175344e-15</v>
                </pt>
                <pt idx="24">
                  <v>2.220446049250313e-15</v>
                </pt>
                <pt idx="25">
                  <v>2.886579864025407e-15</v>
                </pt>
                <pt idx="26">
                  <v>0</v>
                </pt>
                <pt idx="27">
                  <v>1.998401444325282e-15</v>
                </pt>
                <pt idx="28">
                  <v>1.77635683940025e-15</v>
                </pt>
                <pt idx="29">
                  <v>0</v>
                </pt>
                <pt idx="30">
                  <v>2.442490654175344e-15</v>
                </pt>
                <pt idx="31">
                  <v>2.331468351712829e-15</v>
                </pt>
                <pt idx="32">
                  <v>2.55351295663786e-15</v>
                </pt>
                <pt idx="33">
                  <v>2.220446049250313e-15</v>
                </pt>
                <pt idx="34">
                  <v>2.664535259100376e-15</v>
                </pt>
                <pt idx="35">
                  <v>2.442490654175344e-15</v>
                </pt>
                <pt idx="36">
                  <v>0</v>
                </pt>
                <pt idx="37">
                  <v>2.109423746787797e-15</v>
                </pt>
                <pt idx="38">
                  <v>1.998401444325282e-15</v>
                </pt>
                <pt idx="39">
                  <v>2.442490654175344e-15</v>
                </pt>
                <pt idx="40">
                  <v>0</v>
                </pt>
                <pt idx="41">
                  <v>2.997602166487923e-15</v>
                </pt>
                <pt idx="42">
                  <v>1.998401444325282e-15</v>
                </pt>
                <pt idx="43">
                  <v>0.04592141766956936</v>
                </pt>
                <pt idx="44">
                  <v>0.1183800817035632</v>
                </pt>
                <pt idx="45">
                  <v>0.04383302448558934</v>
                </pt>
                <pt idx="46">
                  <v>0.0245197707565582</v>
                </pt>
                <pt idx="47">
                  <v>0.08656814035663496</v>
                </pt>
                <pt idx="48">
                  <v>0.04351473595295297</v>
                </pt>
                <pt idx="49">
                  <v>0.00445986208421989</v>
                </pt>
                <pt idx="50">
                  <v>0.1016654062323386</v>
                </pt>
                <pt idx="51">
                  <v>0.1922669902127866</v>
                </pt>
                <pt idx="52">
                  <v>0.1641092196568994</v>
                </pt>
                <pt idx="53">
                  <v>0.01914306952242262</v>
                </pt>
                <pt idx="54">
                  <v>0.005353783683643143</v>
                </pt>
                <pt idx="55">
                  <v>0.01846432109052842</v>
                </pt>
                <pt idx="56">
                  <v>0.01531864248302073</v>
                </pt>
                <pt idx="57">
                  <v>0.002445455001226171</v>
                </pt>
                <pt idx="58">
                  <v>0.0193871039190372</v>
                </pt>
                <pt idx="59">
                  <v>0.009453690173005902</v>
                </pt>
                <pt idx="60">
                  <v>0.005431517377131212</v>
                </pt>
                <pt idx="61">
                  <v>0.00430530471345747</v>
                </pt>
                <pt idx="62">
                  <v>0.001545951878698659</v>
                </pt>
                <pt idx="63">
                  <v>1.77635683940025e-15</v>
                </pt>
                <pt idx="64">
                  <v>0.03261776397855098</v>
                </pt>
                <pt idx="65">
                  <v>0.03615957688233484</v>
                </pt>
                <pt idx="66">
                  <v>0.1226389870604848</v>
                </pt>
                <pt idx="67">
                  <v>0.06854935942849982</v>
                </pt>
                <pt idx="68">
                  <v>2.331468351712829e-15</v>
                </pt>
                <pt idx="69">
                  <v>0.07065902476192332</v>
                </pt>
                <pt idx="70">
                  <v>0.1065116699602462</v>
                </pt>
                <pt idx="71">
                  <v>0.05573768988191363</v>
                </pt>
                <pt idx="72">
                  <v>0.0279755444014168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407418080"/>
        <axId val="1407420480"/>
      </barChart>
      <catAx>
        <axId val="140741808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07420480"/>
        <crosses val="autoZero"/>
        <auto val="1"/>
        <lblAlgn val="ctr"/>
        <lblOffset val="100"/>
        <noMultiLvlLbl val="0"/>
      </catAx>
      <valAx>
        <axId val="1407420480"/>
        <scaling>
          <orientation val="minMax"/>
          <max val="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0741808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GAM!$R$2</f>
              <strCache>
                <ptCount val="1"/>
                <pt idx="0">
                  <v>PDBC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GAM!$R$3:$R$75</f>
              <numCache>
                <formatCode>0%</formatCode>
                <ptCount val="73"/>
                <pt idx="0">
                  <v>-9.280209842799092e-05</v>
                </pt>
                <pt idx="1">
                  <v>-0.0004339232353780531</v>
                </pt>
                <pt idx="2">
                  <v>7.747287849002582e-05</v>
                </pt>
                <pt idx="3">
                  <v>0.0001717539884600328</v>
                </pt>
                <pt idx="4">
                  <v>-3.332524070798204e-05</v>
                </pt>
                <pt idx="5">
                  <v>0.001372333236149936</v>
                </pt>
                <pt idx="6">
                  <v>-0.006218084444141958</v>
                </pt>
                <pt idx="7">
                  <v>-0.001239840754347021</v>
                </pt>
                <pt idx="8">
                  <v>0</v>
                </pt>
                <pt idx="9">
                  <v>8.488012799290345e-07</v>
                </pt>
                <pt idx="10">
                  <v>-3.073983273305103e-05</v>
                </pt>
                <pt idx="11">
                  <v>0.0001582115678100404</v>
                </pt>
                <pt idx="12">
                  <v>0.001497651333540073</v>
                </pt>
                <pt idx="13">
                  <v>0.001778861285069988</v>
                </pt>
                <pt idx="14">
                  <v>-0.004189855276446997</v>
                </pt>
                <pt idx="15">
                  <v>-0.003132462729373953</v>
                </pt>
                <pt idx="16">
                  <v>0.00795877810371004</v>
                </pt>
                <pt idx="17">
                  <v>0.007294848063380099</v>
                </pt>
                <pt idx="18">
                  <v>0.007686110071440044</v>
                </pt>
                <pt idx="19">
                  <v>0.03104036206454008</v>
                </pt>
                <pt idx="20">
                  <v>-0.00214149729993296</v>
                </pt>
                <pt idx="21">
                  <v>0.01828438726654991</v>
                </pt>
                <pt idx="22">
                  <v>0.00721362135455994</v>
                </pt>
                <pt idx="23">
                  <v>0.00646544287149009</v>
                </pt>
                <pt idx="24">
                  <v>0.003120814712030073</v>
                </pt>
                <pt idx="25">
                  <v>-0.003937917966968962</v>
                </pt>
                <pt idx="26">
                  <v>0.004907966631130023</v>
                </pt>
                <pt idx="27">
                  <v>0.009056548949309962</v>
                </pt>
                <pt idx="28">
                  <v>-0.01648589330837302</v>
                </pt>
                <pt idx="29">
                  <v>0.007226648724139917</v>
                </pt>
                <pt idx="30">
                  <v>0.00985905354360006</v>
                </pt>
                <pt idx="31">
                  <v>0.01241239042406006</v>
                </pt>
                <pt idx="32">
                  <v>0.02122434384592009</v>
                </pt>
                <pt idx="33">
                  <v>0.007909516813610074</v>
                </pt>
                <pt idx="34">
                  <v>0.005844509410029897</v>
                </pt>
                <pt idx="35">
                  <v>-0.01014372210992398</v>
                </pt>
                <pt idx="36">
                  <v>-0.003955291452164</v>
                </pt>
                <pt idx="37">
                  <v>-0.003474637828659977</v>
                </pt>
                <pt idx="38">
                  <v>-0.01214077786961798</v>
                </pt>
                <pt idx="39">
                  <v>0.008366865292489978</v>
                </pt>
                <pt idx="40">
                  <v>0.003030305004299905</v>
                </pt>
                <pt idx="41">
                  <v>-0.005828033242903041</v>
                </pt>
                <pt idx="42">
                  <v>0.001022798308810025</v>
                </pt>
                <pt idx="43">
                  <v>-0.004281391405885016</v>
                </pt>
                <pt idx="44">
                  <v>0.0005419024617900892</v>
                </pt>
                <pt idx="45">
                  <v>0.0002191233122499359</v>
                </pt>
                <pt idx="46">
                  <v>-0.0006716397898669513</v>
                </pt>
                <pt idx="47">
                  <v>0.0001538662472799768</v>
                </pt>
                <pt idx="48">
                  <v>0.0002780200190299897</v>
                </pt>
                <pt idx="49">
                  <v>0.00014035379013011</v>
                </pt>
                <pt idx="50">
                  <v>0.001339599281179993</v>
                </pt>
                <pt idx="51">
                  <v>-0.004453591443991045</v>
                </pt>
                <pt idx="52">
                  <v>-0.004106191076085008</v>
                </pt>
                <pt idx="53">
                  <v>-0.00257390719028705</v>
                </pt>
                <pt idx="54">
                  <v>-0.0003181935008800263</v>
                </pt>
                <pt idx="55">
                  <v>-0.0001820465352789791</v>
                </pt>
                <pt idx="56">
                  <v>0.001402779554710021</v>
                </pt>
                <pt idx="57">
                  <v>0.0007988994118799386</v>
                </pt>
                <pt idx="58">
                  <v>0.001068956594979964</v>
                </pt>
                <pt idx="59">
                  <v>-0.001050968863143042</v>
                </pt>
                <pt idx="60">
                  <v>-0.0008880347100299613</v>
                </pt>
                <pt idx="61">
                  <v>-0.0006701890657100362</v>
                </pt>
                <pt idx="62">
                  <v>-5.560867883103171e-05</v>
                </pt>
                <pt idx="63">
                  <v>4.420480494005119e-05</v>
                </pt>
                <pt idx="64">
                  <v>-0.0002235986332760342</v>
                </pt>
                <pt idx="65">
                  <v>0.0001229180960600207</v>
                </pt>
                <pt idx="66">
                  <v>0.001395901922160103</v>
                </pt>
                <pt idx="67">
                  <v>-0.0002787677407679601</v>
                </pt>
                <pt idx="68">
                  <v>0.001604643204059952</v>
                </pt>
                <pt idx="69">
                  <v>-0.01553587551362001</v>
                </pt>
                <pt idx="70">
                  <v>0.001082976635990107</v>
                </pt>
                <pt idx="71">
                  <v>0.001335024598219992</v>
                </pt>
                <pt idx="72">
                  <v>0.00226577179149001</v>
                </pt>
              </numCache>
            </numRef>
          </val>
        </ser>
        <ser>
          <idx val="1"/>
          <order val="1"/>
          <tx>
            <strRef>
              <f>GAM!$S$2</f>
              <strCache>
                <ptCount val="1"/>
                <pt idx="0">
                  <v>VWO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GAM!$S$3:$S$75</f>
              <numCache>
                <formatCode>0%</formatCode>
                <ptCount val="73"/>
                <pt idx="0">
                  <v>-0.0006562858141929695</v>
                </pt>
                <pt idx="1">
                  <v>-0.0009621728062190193</v>
                </pt>
                <pt idx="2">
                  <v>0.0004566818083799884</v>
                </pt>
                <pt idx="3">
                  <v>0.000519085748059922</v>
                </pt>
                <pt idx="4">
                  <v>-0.0006689544304699924</v>
                </pt>
                <pt idx="5">
                  <v>0.006707584171669945</v>
                </pt>
                <pt idx="6">
                  <v>-0.008172585540727972</v>
                </pt>
                <pt idx="7">
                  <v>-0.0006058134969350037</v>
                </pt>
                <pt idx="8">
                  <v>-0.004630056481858991</v>
                </pt>
                <pt idx="9">
                  <v>0.001958026606130092</v>
                </pt>
                <pt idx="10">
                  <v>0.0007970351804100773</v>
                </pt>
                <pt idx="11">
                  <v>0.001793448392459984</v>
                </pt>
                <pt idx="12">
                  <v>0.005201201719160053</v>
                </pt>
                <pt idx="13">
                  <v>0.001882966023500021</v>
                </pt>
                <pt idx="14">
                  <v>-0.001696834866883989</v>
                </pt>
                <pt idx="15">
                  <v>0.001566789092140031</v>
                </pt>
                <pt idx="16">
                  <v>0.01665066753382005</v>
                </pt>
                <pt idx="17">
                  <v>0.0164686548592099</v>
                </pt>
                <pt idx="18">
                  <v>0.007523990994680041</v>
                </pt>
                <pt idx="19">
                  <v>0.003418368987750053</v>
                </pt>
                <pt idx="20">
                  <v>0.0005276378348899602</v>
                </pt>
                <pt idx="21">
                  <v>0.001434575423739926</v>
                </pt>
                <pt idx="22">
                  <v>0.001481471832740056</v>
                </pt>
                <pt idx="23">
                  <v>0.0009319326286900687</v>
                </pt>
                <pt idx="24">
                  <v>-0.005888337141014999</v>
                </pt>
                <pt idx="25">
                  <v>0.001000857769470009</v>
                </pt>
                <pt idx="26">
                  <v>-0.001344939469618001</v>
                </pt>
                <pt idx="27">
                  <v>0.000576534802740003</v>
                </pt>
                <pt idx="28">
                  <v>-0.0007205125969199644</v>
                </pt>
                <pt idx="29">
                  <v>0.0001961519664999134</v>
                </pt>
                <pt idx="30">
                  <v>1.168579398003189e-05</v>
                </pt>
                <pt idx="31">
                  <v>-0.000931807367477</v>
                </pt>
                <pt idx="32">
                  <v>-0.0007348292541129453</v>
                </pt>
                <pt idx="33">
                  <v>-0.0002374464609039562</v>
                </pt>
                <pt idx="34">
                  <v>0.0001281123322700584</v>
                </pt>
                <pt idx="35">
                  <v>-0.001344314994848994</v>
                </pt>
                <pt idx="36">
                  <v>2.749138065993861e-05</v>
                </pt>
                <pt idx="37">
                  <v>-0.0006549965143000103</v>
                </pt>
                <pt idx="38">
                  <v>-0.011374881347189</v>
                </pt>
                <pt idx="39">
                  <v>0.0004622684716699688</v>
                </pt>
                <pt idx="40">
                  <v>0.004855480906309939</v>
                </pt>
                <pt idx="41">
                  <v>-0.002628425601368001</v>
                </pt>
                <pt idx="42">
                  <v>0.009443642230319904</v>
                </pt>
                <pt idx="43">
                  <v>-0.01007535423768402</v>
                </pt>
                <pt idx="44">
                  <v>0.003255454240310041</v>
                </pt>
                <pt idx="45">
                  <v>-0.001082699644500029</v>
                </pt>
                <pt idx="46">
                  <v>-0.002712297724529966</v>
                </pt>
                <pt idx="47">
                  <v>0.003745138638080014</v>
                </pt>
                <pt idx="48">
                  <v>0.005737399599329951</v>
                </pt>
                <pt idx="49">
                  <v>-0.00735759965598104</v>
                </pt>
                <pt idx="50">
                  <v>-0.000413725277523036</v>
                </pt>
                <pt idx="51">
                  <v>-0.001899493469642022</v>
                </pt>
                <pt idx="52">
                  <v>0.004232769156180094</v>
                </pt>
                <pt idx="53">
                  <v>0.003317834918070028</v>
                </pt>
                <pt idx="54">
                  <v>-0.00288923542001096</v>
                </pt>
                <pt idx="55">
                  <v>0.001310413322799908</v>
                </pt>
                <pt idx="56">
                  <v>0.00147273948658011</v>
                </pt>
                <pt idx="57">
                  <v>-0.000106923560846961</v>
                </pt>
                <pt idx="58">
                  <v>0.002067826616469981</v>
                </pt>
                <pt idx="59">
                  <v>0.003025328773980096</v>
                </pt>
                <pt idx="60">
                  <v>0.001426957657010064</v>
                </pt>
                <pt idx="61">
                  <v>-0.0004497493552509946</v>
                </pt>
                <pt idx="62">
                  <v>0.001837908458149906</v>
                </pt>
                <pt idx="63">
                  <v>-0.002082826634607016</v>
                </pt>
                <pt idx="64">
                  <v>-0.00237377740264999</v>
                </pt>
                <pt idx="65">
                  <v>-0.0006341633902749999</v>
                </pt>
                <pt idx="66">
                  <v>0.001846480330019995</v>
                </pt>
                <pt idx="67">
                  <v>0.0006033090306301059</v>
                </pt>
                <pt idx="68">
                  <v>0.0008205426583700604</v>
                </pt>
                <pt idx="69">
                  <v>0.0001988812599600376</v>
                </pt>
                <pt idx="70">
                  <v>0.003176667952460077</v>
                </pt>
                <pt idx="71">
                  <v>0.007005860677159914</v>
                </pt>
                <pt idx="72">
                  <v>0.00105651256134998</v>
                </pt>
              </numCache>
            </numRef>
          </val>
        </ser>
        <ser>
          <idx val="2"/>
          <order val="2"/>
          <tx>
            <strRef>
              <f>GAM!$T$2</f>
              <strCache>
                <ptCount val="1"/>
                <pt idx="0">
                  <v>IAU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GAM!$T$3:$T$75</f>
              <numCache>
                <formatCode>0%</formatCode>
                <ptCount val="73"/>
                <pt idx="0">
                  <v>0.0005664435858800942</v>
                </pt>
                <pt idx="1">
                  <v>0.01636800423473006</v>
                </pt>
                <pt idx="2">
                  <v>-0.008373695876045972</v>
                </pt>
                <pt idx="3">
                  <v>0.005146655090640051</v>
                </pt>
                <pt idx="4">
                  <v>-0.007209120288906967</v>
                </pt>
                <pt idx="5">
                  <v>0.003736644893090002</v>
                </pt>
                <pt idx="6">
                  <v>0.008029110190280075</v>
                </pt>
                <pt idx="7">
                  <v>-0.002027256607827987</v>
                </pt>
                <pt idx="8">
                  <v>-0.001211992948768947</v>
                </pt>
                <pt idx="9">
                  <v>0.04050593314327999</v>
                </pt>
                <pt idx="10">
                  <v>0.01474510654009009</v>
                </pt>
                <pt idx="11">
                  <v>0.01538377720558004</v>
                </pt>
                <pt idx="12">
                  <v>0.04060379893442989</v>
                </pt>
                <pt idx="13">
                  <v>-0.001375049597839961</v>
                </pt>
                <pt idx="14">
                  <v>-0.009026421685338959</v>
                </pt>
                <pt idx="15">
                  <v>-0.0001988567289710197</v>
                </pt>
                <pt idx="16">
                  <v>-0.009446278921455997</v>
                </pt>
                <pt idx="17">
                  <v>0.01124180202976</v>
                </pt>
                <pt idx="18">
                  <v>-0.004231579414877951</v>
                </pt>
                <pt idx="19">
                  <v>-0.007101012897795966</v>
                </pt>
                <pt idx="20">
                  <v>-0.000746943970776015</v>
                </pt>
                <pt idx="21">
                  <v>0.001922729803579992</v>
                </pt>
                <pt idx="22">
                  <v>0.004439578315809989</v>
                </pt>
                <pt idx="23">
                  <v>-0.009632492645428981</v>
                </pt>
                <pt idx="24">
                  <v>0.001086301659209976</v>
                </pt>
                <pt idx="25">
                  <v>1.560313930060175e-06</v>
                </pt>
                <pt idx="26">
                  <v>-0.001432910120716002</v>
                </pt>
                <pt idx="27">
                  <v>0.0008394347458300366</v>
                </pt>
                <pt idx="28">
                  <v>-7.749417239100165e-05</v>
                </pt>
                <pt idx="29">
                  <v>0.002949486194989914</v>
                </pt>
                <pt idx="30">
                  <v>-0.001936310571672983</v>
                </pt>
                <pt idx="31">
                  <v>0.01800479119059006</v>
                </pt>
                <pt idx="32">
                  <v>0.003352483656670069</v>
                </pt>
                <pt idx="33">
                  <v>-0.007838124280310055</v>
                </pt>
                <pt idx="34">
                  <v>-0.01321368715999705</v>
                </pt>
                <pt idx="35">
                  <v>-0.007124405091090025</v>
                </pt>
                <pt idx="36">
                  <v>-0.01403520276895298</v>
                </pt>
                <pt idx="37">
                  <v>-0.009723465750271054</v>
                </pt>
                <pt idx="38">
                  <v>-0.009275054408730998</v>
                </pt>
                <pt idx="39">
                  <v>-0.008015694756606018</v>
                </pt>
                <pt idx="40">
                  <v>0.02593421795084994</v>
                </pt>
                <pt idx="41">
                  <v>0.009152250588559951</v>
                </pt>
                <pt idx="42">
                  <v>0.02150839229935997</v>
                </pt>
                <pt idx="43">
                  <v>-0.02158118159043498</v>
                </pt>
                <pt idx="44">
                  <v>0.02240162569493998</v>
                </pt>
                <pt idx="45">
                  <v>0.002505842686230109</v>
                </pt>
                <pt idx="46">
                  <v>-0.003945937571461999</v>
                </pt>
                <pt idx="47">
                  <v>-0.005966946608601975</v>
                </pt>
                <pt idx="48">
                  <v>0.004515546124749914</v>
                </pt>
                <pt idx="49">
                  <v>-0.002417749756078003</v>
                </pt>
                <pt idx="50">
                  <v>-0.0105353211061</v>
                </pt>
                <pt idx="51">
                  <v>0.008768190959679956</v>
                </pt>
                <pt idx="52">
                  <v>0.007836987537620077</v>
                </pt>
                <pt idx="53">
                  <v>0.003498921954820045</v>
                </pt>
                <pt idx="54">
                  <v>-0.003539258827307989</v>
                </pt>
                <pt idx="55">
                  <v>0.001115377689890007</v>
                </pt>
                <pt idx="56">
                  <v>0.01175468634832999</v>
                </pt>
                <pt idx="57">
                  <v>0.006192254486750093</v>
                </pt>
                <pt idx="58">
                  <v>0.004231222515290067</v>
                </pt>
                <pt idx="59">
                  <v>9.517521340995927e-05</v>
                </pt>
                <pt idx="60">
                  <v>0.008789377225079997</v>
                </pt>
                <pt idx="61">
                  <v>0.003809842864249902</v>
                </pt>
                <pt idx="62">
                  <v>0.01200248517836</v>
                </pt>
                <pt idx="63">
                  <v>0.0120641703695199</v>
                </pt>
                <pt idx="64">
                  <v>-0.01108302379223403</v>
                </pt>
                <pt idx="65">
                  <v>-0.004163236547685023</v>
                </pt>
                <pt idx="66">
                  <v>0.01414381480904003</v>
                </pt>
                <pt idx="67">
                  <v>0.004185898686660083</v>
                </pt>
                <pt idx="68">
                  <v>0.02747546208783991</v>
                </pt>
                <pt idx="69">
                  <v>0.01818697752439991</v>
                </pt>
                <pt idx="70">
                  <v>0.001661397033269951</v>
                </pt>
                <pt idx="71">
                  <v>0.002473773261969958</v>
                </pt>
                <pt idx="72">
                  <v>-0.00101065714856996</v>
                </pt>
              </numCache>
            </numRef>
          </val>
        </ser>
        <ser>
          <idx val="3"/>
          <order val="3"/>
          <tx>
            <strRef>
              <f>GAM!$U$2</f>
              <strCache>
                <ptCount val="1"/>
                <pt idx="0">
                  <v>VEA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val>
            <numRef>
              <f>GAM!$U$3:$U$75</f>
              <numCache>
                <formatCode>0%</formatCode>
                <ptCount val="73"/>
                <pt idx="0">
                  <v>-0.001576093362324005</v>
                </pt>
                <pt idx="1">
                  <v>-0.001147403981381023</v>
                </pt>
                <pt idx="2">
                  <v>0.001859211809899897</v>
                </pt>
                <pt idx="3">
                  <v>0.002974041797370042</v>
                </pt>
                <pt idx="4">
                  <v>0.000961385893440081</v>
                </pt>
                <pt idx="5">
                  <v>0.005890330307680047</v>
                </pt>
                <pt idx="6">
                  <v>-0.003226204523042009</v>
                </pt>
                <pt idx="7">
                  <v>-0.007159457618414966</v>
                </pt>
                <pt idx="8">
                  <v>-0.002182723983629953</v>
                </pt>
                <pt idx="9">
                  <v>0.001189925072520026</v>
                </pt>
                <pt idx="10">
                  <v>0.001270308307369961</v>
                </pt>
                <pt idx="11">
                  <v>0.001023291856860009</v>
                </pt>
                <pt idx="12">
                  <v>0.0006741477532901108</v>
                </pt>
                <pt idx="13">
                  <v>0.00120656552908005</v>
                </pt>
                <pt idx="14">
                  <v>-0.0008093768683049563</v>
                </pt>
                <pt idx="15">
                  <v>-0.002615830449530954</v>
                </pt>
                <pt idx="16">
                  <v>0.00788828450894008</v>
                </pt>
                <pt idx="17">
                  <v>0.003910936185610003</v>
                </pt>
                <pt idx="18">
                  <v>-0.0008938615305910114</v>
                </pt>
                <pt idx="19">
                  <v>0.002568662169250002</v>
                </pt>
                <pt idx="20">
                  <v>0.002918314371650021</v>
                </pt>
                <pt idx="21">
                  <v>0.00508284111550994</v>
                </pt>
                <pt idx="22">
                  <v>0.006126182902520094</v>
                </pt>
                <pt idx="23">
                  <v>-0.002009870932678015</v>
                </pt>
                <pt idx="24">
                  <v>0.0009774292908300009</v>
                </pt>
                <pt idx="25">
                  <v>0.001214644436019929</v>
                </pt>
                <pt idx="26">
                  <v>-0.003111934790432036</v>
                </pt>
                <pt idx="27">
                  <v>0.003205217642350044</v>
                </pt>
                <pt idx="28">
                  <v>-0.004623036697888994</v>
                </pt>
                <pt idx="29">
                  <v>0.002627672871829967</v>
                </pt>
                <pt idx="30">
                  <v>-0.003165054157740044</v>
                </pt>
                <pt idx="31">
                  <v>-0.001674514151534967</v>
                </pt>
                <pt idx="32">
                  <v>-5.538470096899673e-05</v>
                </pt>
                <pt idx="33">
                  <v>-0.006160028227573</v>
                </pt>
                <pt idx="34">
                  <v>0.002108103123880101</v>
                </pt>
                <pt idx="35">
                  <v>-0.008215269614258003</v>
                </pt>
                <pt idx="36">
                  <v>0.001990964132319917</v>
                </pt>
                <pt idx="37">
                  <v>-0.004121452680841964</v>
                </pt>
                <pt idx="38">
                  <v>-0.004666404261759016</v>
                </pt>
                <pt idx="39">
                  <v>0.002493553868200049</v>
                </pt>
                <pt idx="40">
                  <v>0.01107887454326995</v>
                </pt>
                <pt idx="41">
                  <v>-0.003769408336834035</v>
                </pt>
                <pt idx="42">
                  <v>0.01505284870266999</v>
                </pt>
                <pt idx="43">
                  <v>-0.007408762455636042</v>
                </pt>
                <pt idx="44">
                  <v>0.00830492684341011</v>
                </pt>
                <pt idx="45">
                  <v>0.007878017056379916</v>
                </pt>
                <pt idx="46">
                  <v>-0.01109963863252705</v>
                </pt>
                <pt idx="47">
                  <v>0.01073626135640993</v>
                </pt>
                <pt idx="48">
                  <v>0.007201569063260083</v>
                </pt>
                <pt idx="49">
                  <v>-0.007722141078831957</v>
                </pt>
                <pt idx="50">
                  <v>-0.00404486730575504</v>
                </pt>
                <pt idx="51">
                  <v>-0.003050464293487987</v>
                </pt>
                <pt idx="52">
                  <v>0.006374467345350077</v>
                </pt>
                <pt idx="53">
                  <v>0.006592504229310014</v>
                </pt>
                <pt idx="54">
                  <v>-0.0001188577772589516</v>
                </pt>
                <pt idx="55">
                  <v>0.006496281321610065</v>
                </pt>
                <pt idx="56">
                  <v>0.009397093795650013</v>
                </pt>
                <pt idx="57">
                  <v>-0.008268056080712016</v>
                </pt>
                <pt idx="58">
                  <v>0.00972253099899989</v>
                </pt>
                <pt idx="59">
                  <v>-0.003917546618810053</v>
                </pt>
                <pt idx="60">
                  <v>0.004079104052020055</v>
                </pt>
                <pt idx="61">
                  <v>0.003370186731779912</v>
                </pt>
                <pt idx="62">
                  <v>0.0004716920110499068</v>
                </pt>
                <pt idx="63">
                  <v>-0.00307113478382004</v>
                </pt>
                <pt idx="64">
                  <v>-3.712823992796377e-05</v>
                </pt>
                <pt idx="65">
                  <v>-0.0008308580437119684</v>
                </pt>
                <pt idx="66">
                  <v>0.001716892041049967</v>
                </pt>
                <pt idx="67">
                  <v>0.004092240706440098</v>
                </pt>
                <pt idx="68">
                  <v>-0.000126704259644006</v>
                </pt>
                <pt idx="69">
                  <v>0.00571153191352991</v>
                </pt>
                <pt idx="70">
                  <v>0.008200651854969987</v>
                </pt>
                <pt idx="71">
                  <v>0.004651835940389981</v>
                </pt>
                <pt idx="72">
                  <v>-0.004330615035258</v>
                </pt>
              </numCache>
            </numRef>
          </val>
        </ser>
        <ser>
          <idx val="4"/>
          <order val="4"/>
          <tx>
            <strRef>
              <f>GAM!$V$2</f>
              <strCache>
                <ptCount val="1"/>
                <pt idx="0">
                  <v>SPY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val>
            <numRef>
              <f>GAM!$V$3:$V$75</f>
              <numCache>
                <formatCode>0%</formatCode>
                <ptCount val="73"/>
                <pt idx="0">
                  <v>0.001387298172280005</v>
                </pt>
                <pt idx="1">
                  <v>-0.002304353260612957</v>
                </pt>
                <pt idx="2">
                  <v>0.001275272904710079</v>
                </pt>
                <pt idx="3">
                  <v>0.002850466443480082</v>
                </pt>
                <pt idx="4">
                  <v>0.003485153947669906</v>
                </pt>
                <pt idx="5">
                  <v>0.009115607894250033</v>
                </pt>
                <pt idx="6">
                  <v>-0.0003031731185290099</v>
                </pt>
                <pt idx="7">
                  <v>-0.02144020460047602</v>
                </pt>
                <pt idx="8">
                  <v>-0.01146960646809703</v>
                </pt>
                <pt idx="9">
                  <v>0.009893199034360034</v>
                </pt>
                <pt idx="10">
                  <v>0.0031013765766299</v>
                </pt>
                <pt idx="11">
                  <v>0.001668253303080069</v>
                </pt>
                <pt idx="12">
                  <v>0.00595503357920002</v>
                </pt>
                <pt idx="13">
                  <v>0.008554411214559909</v>
                </pt>
                <pt idx="14">
                  <v>-0.009085840930614042</v>
                </pt>
                <pt idx="15">
                  <v>-0.003890619505698023</v>
                </pt>
                <pt idx="16">
                  <v>0.0140365606680799</v>
                </pt>
                <pt idx="17">
                  <v>0.004534236088789889</v>
                </pt>
                <pt idx="18">
                  <v>-0.00109387311254705</v>
                </pt>
                <pt idx="19">
                  <v>0.004100255375079964</v>
                </pt>
                <pt idx="20">
                  <v>0.008526982308300068</v>
                </pt>
                <pt idx="21">
                  <v>0.01206528819872998</v>
                </pt>
                <pt idx="22">
                  <v>0.001538470836760064</v>
                </pt>
                <pt idx="23">
                  <v>0.003866740626500054</v>
                </pt>
                <pt idx="24">
                  <v>0.005655952186210067</v>
                </pt>
                <pt idx="25">
                  <v>0.006920797585570071</v>
                </pt>
                <pt idx="26">
                  <v>-0.01445946443201795</v>
                </pt>
                <pt idx="27">
                  <v>0.01789015282777995</v>
                </pt>
                <pt idx="28">
                  <v>-0.002012473750920951</v>
                </pt>
                <pt idx="29">
                  <v>0.01448919558884998</v>
                </pt>
                <pt idx="30">
                  <v>-0.01278822224898701</v>
                </pt>
                <pt idx="31">
                  <v>-0.004862584825229055</v>
                </pt>
                <pt idx="32">
                  <v>0.002327540448660015</v>
                </pt>
                <pt idx="33">
                  <v>-0.014132845628957</v>
                </pt>
                <pt idx="34">
                  <v>0.0005504506132298914</v>
                </pt>
                <pt idx="35">
                  <v>-0.01084484812618203</v>
                </pt>
                <pt idx="36">
                  <v>0.005839810591439898</v>
                </pt>
                <pt idx="37">
                  <v>-0.004850665431559986</v>
                </pt>
                <pt idx="38">
                  <v>-0.01528849698293</v>
                </pt>
                <pt idx="39">
                  <v>0.01404578877871998</v>
                </pt>
                <pt idx="40">
                  <v>0.009829641455270099</v>
                </pt>
                <pt idx="41">
                  <v>-0.009218473587512044</v>
                </pt>
                <pt idx="42">
                  <v>0.005303477339390072</v>
                </pt>
                <pt idx="43">
                  <v>-0.002236971152698053</v>
                </pt>
                <pt idx="44">
                  <v>0.004548920555079938</v>
                </pt>
                <pt idx="45">
                  <v>0.002433572504259907</v>
                </pt>
                <pt idx="46">
                  <v>0.0009053563720000657</v>
                </pt>
                <pt idx="47">
                  <v>0.01612983600470996</v>
                </pt>
                <pt idx="48">
                  <v>0.009093711560510087</v>
                </pt>
                <pt idx="49">
                  <v>-0.005571084410953997</v>
                </pt>
                <pt idx="50">
                  <v>-0.01422692227758404</v>
                </pt>
                <pt idx="51">
                  <v>-0.004118378273936019</v>
                </pt>
                <pt idx="52">
                  <v>0.01840604846433003</v>
                </pt>
                <pt idx="53">
                  <v>0.01258177581787989</v>
                </pt>
                <pt idx="54">
                  <v>0.006104080761109909</v>
                </pt>
                <pt idx="55">
                  <v>0.0183514639014799</v>
                </pt>
                <pt idx="56">
                  <v>0.01120095968008994</v>
                </pt>
                <pt idx="57">
                  <v>-0.01137263894426199</v>
                </pt>
                <pt idx="58">
                  <v>0.01208538285865002</v>
                </pt>
                <pt idx="59">
                  <v>0.01042405774022992</v>
                </pt>
                <pt idx="60">
                  <v>0.004535619359139931</v>
                </pt>
                <pt idx="61">
                  <v>0.009219958939030048</v>
                </pt>
                <pt idx="62">
                  <v>0.002145176836529927</v>
                </pt>
                <pt idx="63">
                  <v>-0.002117286244085026</v>
                </pt>
                <pt idx="64">
                  <v>0.01013987922917003</v>
                </pt>
                <pt idx="65">
                  <v>-0.00956437073129901</v>
                </pt>
                <pt idx="66">
                  <v>0.009594628809320049</v>
                </pt>
                <pt idx="67">
                  <v>-0.004122743617838043</v>
                </pt>
                <pt idx="68">
                  <v>-0.01289280678703997</v>
                </pt>
                <pt idx="69">
                  <v>0.0002041320715100436</v>
                </pt>
                <pt idx="70">
                  <v>0.001983797876039972</v>
                </pt>
                <pt idx="71">
                  <v>0.00463865492428006</v>
                </pt>
                <pt idx="72">
                  <v>0.00281024864342005</v>
                </pt>
              </numCache>
            </numRef>
          </val>
        </ser>
        <ser>
          <idx val="5"/>
          <order val="5"/>
          <tx>
            <strRef>
              <f>GAM!$W$2</f>
              <strCache>
                <ptCount val="1"/>
                <pt idx="0">
                  <v>SPTL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GAM!$W$3:$W$75</f>
              <numCache>
                <formatCode>0%</formatCode>
                <ptCount val="73"/>
                <pt idx="0">
                  <v>0.0009037295977700754</v>
                </pt>
                <pt idx="1">
                  <v>0.04121358359402993</v>
                </pt>
                <pt idx="2">
                  <v>-0.008523387191547993</v>
                </pt>
                <pt idx="3">
                  <v>-0.00235294958173704</v>
                </pt>
                <pt idx="4">
                  <v>-0.0007976004255210167</v>
                </pt>
                <pt idx="5">
                  <v>-0.003934974223818055</v>
                </pt>
                <pt idx="6">
                  <v>0.003394130217490021</v>
                </pt>
                <pt idx="7">
                  <v>0.008122187129190106</v>
                </pt>
                <pt idx="8">
                  <v>0.02456726004814991</v>
                </pt>
                <pt idx="9">
                  <v>0.004783539002839898</v>
                </pt>
                <pt idx="10">
                  <v>-0.005529874236365973</v>
                </pt>
                <pt idx="11">
                  <v>0.0004972343928799638</v>
                </pt>
                <pt idx="12">
                  <v>0.01574047933186007</v>
                </pt>
                <pt idx="13">
                  <v>-0.014642248124207</v>
                </pt>
                <pt idx="14">
                  <v>0.001975210345249945</v>
                </pt>
                <pt idx="15">
                  <v>-0.01261779875781199</v>
                </pt>
                <pt idx="16">
                  <v>0.005598261418430006</v>
                </pt>
                <pt idx="17">
                  <v>-0.004148250920874008</v>
                </pt>
                <pt idx="18">
                  <v>-0.003584016237780041</v>
                </pt>
                <pt idx="19">
                  <v>-0.001053755124307054</v>
                </pt>
                <pt idx="20">
                  <v>-0.0004909350492630082</v>
                </pt>
                <pt idx="21">
                  <v>9.797656769006124e-05</v>
                </pt>
                <pt idx="22">
                  <v>0</v>
                </pt>
                <pt idx="23">
                  <v>0.0001187392776900165</v>
                </pt>
                <pt idx="24">
                  <v>0.001901128833950105</v>
                </pt>
                <pt idx="25">
                  <v>-0.001431647860474006</v>
                </pt>
                <pt idx="26">
                  <v>-0.004181732380256986</v>
                </pt>
                <pt idx="27">
                  <v>0.003381890200399917</v>
                </pt>
                <pt idx="28">
                  <v>0.003921506216459925</v>
                </pt>
                <pt idx="29">
                  <v>-0.004626422031282051</v>
                </pt>
                <pt idx="30">
                  <v>-0.006999226350659971</v>
                </pt>
                <pt idx="31">
                  <v>-0.001763203532023971</v>
                </pt>
                <pt idx="32">
                  <v>-0.007425372541438047</v>
                </pt>
                <pt idx="33">
                  <v>-0.004475316034111998</v>
                </pt>
                <pt idx="34">
                  <v>-0.0009151316169729862</v>
                </pt>
                <pt idx="35">
                  <v>-0.0001500227014630262</v>
                </pt>
                <pt idx="36">
                  <v>0.0006802312723299675</v>
                </pt>
                <pt idx="37">
                  <v>-0.00531388268309696</v>
                </pt>
                <pt idx="38">
                  <v>-0.00726303651126603</v>
                </pt>
                <pt idx="39">
                  <v>-0.006250877901549989</v>
                </pt>
                <pt idx="40">
                  <v>0.001360242079440077</v>
                </pt>
                <pt idx="41">
                  <v>1.569876679985427e-06</v>
                </pt>
                <pt idx="42">
                  <v>0.001349114456669964</v>
                </pt>
                <pt idx="43">
                  <v>-0.002038371311409048</v>
                </pt>
                <pt idx="44">
                  <v>0.00192582337358993</v>
                </pt>
                <pt idx="45">
                  <v>0.0001051445090500813</v>
                </pt>
                <pt idx="46">
                  <v>-0.001856419012336019</v>
                </pt>
                <pt idx="47">
                  <v>0.0002289465526998935</v>
                </pt>
                <pt idx="48">
                  <v>-0.001196347611277959</v>
                </pt>
                <pt idx="49">
                  <v>-0.0007507465214090514</v>
                </pt>
                <pt idx="50">
                  <v>-0.000192102700105945</v>
                </pt>
                <pt idx="51">
                  <v>-0.0001624647930440482</v>
                </pt>
                <pt idx="52">
                  <v>0.0001732360547999079</v>
                </pt>
                <pt idx="53">
                  <v>0.0001414526257599302</v>
                </pt>
                <pt idx="54">
                  <v>-0.0006277485245510528</v>
                </pt>
                <pt idx="55">
                  <v>-0.001670499072482956</v>
                </pt>
                <pt idx="56">
                  <v>0.0003804652431000921</v>
                </pt>
                <pt idx="57">
                  <v>-0.00143211242110397</v>
                </pt>
                <pt idx="58">
                  <v>0.0002739960258100194</v>
                </pt>
                <pt idx="59">
                  <v>0.0001092642588800263</v>
                </pt>
                <pt idx="60">
                  <v>0.0008713525376200515</v>
                </pt>
                <pt idx="61">
                  <v>0.0009077336969700589</v>
                </pt>
                <pt idx="62">
                  <v>0.001452379590030084</v>
                </pt>
                <pt idx="63">
                  <v>-0.007674372246141981</v>
                </pt>
                <pt idx="64">
                  <v>-0.000189283486290992</v>
                </pt>
                <pt idx="65">
                  <v>-0.005043385943921952</v>
                </pt>
                <pt idx="66">
                  <v>0.0002398490329800218</v>
                </pt>
                <pt idx="67">
                  <v>0.0003333175507900243</v>
                </pt>
                <pt idx="68">
                  <v>-0.001371654258503052</v>
                </pt>
                <pt idx="69">
                  <v>-0.001597003113901985</v>
                </pt>
                <pt idx="70">
                  <v>-0.003259145965442967</v>
                </pt>
                <pt idx="71">
                  <v>0.0003938729967500887</v>
                </pt>
                <pt idx="72">
                  <v>-0.000417632357016973</v>
                </pt>
              </numCache>
            </numRef>
          </val>
        </ser>
        <ser>
          <idx val="6"/>
          <order val="6"/>
          <tx>
            <strRef>
              <f>GAM!$X$2</f>
              <strCache>
                <ptCount val="1"/>
                <pt idx="0">
                  <v>VNQ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GAM!$X$3:$X$75</f>
              <numCache>
                <formatCode>0%</formatCode>
                <ptCount val="73"/>
                <pt idx="0">
                  <v>0.003744259511659909</v>
                </pt>
                <pt idx="1">
                  <v>0.006737816733509927</v>
                </pt>
                <pt idx="2">
                  <v>0.00452811932942998</v>
                </pt>
                <pt idx="3">
                  <v>0.003515047851690101</v>
                </pt>
                <pt idx="4">
                  <v>-0.004069002388726983</v>
                </pt>
                <pt idx="5">
                  <v>0.0001460365877901104</v>
                </pt>
                <pt idx="6">
                  <v>0.001322480612020005</v>
                </pt>
                <pt idx="7">
                  <v>-0.01271877920421405</v>
                </pt>
                <pt idx="8">
                  <v>-0.00506127006637902</v>
                </pt>
                <pt idx="9">
                  <v>-0.0001198350329080222</v>
                </pt>
                <pt idx="10">
                  <v>0.0001741600261100373</v>
                </pt>
                <pt idx="11">
                  <v>0.0003986844002199508</v>
                </pt>
                <pt idx="12">
                  <v>0.000483801917640081</v>
                </pt>
                <pt idx="13">
                  <v>4.339003199005376e-05</v>
                </pt>
                <pt idx="14">
                  <v>-0.0002491771149919497</v>
                </pt>
                <pt idx="15">
                  <v>-0.001160619174863986</v>
                </pt>
                <pt idx="16">
                  <v>0.00287233184197011</v>
                </pt>
                <pt idx="17">
                  <v>0.001007415963669933</v>
                </pt>
                <pt idx="18">
                  <v>0.0002797274167500863</v>
                </pt>
                <pt idx="19">
                  <v>0.001475680491870079</v>
                </pt>
                <pt idx="20">
                  <v>0.005867614258040055</v>
                </pt>
                <pt idx="21">
                  <v>0.01315224264129</v>
                </pt>
                <pt idx="22">
                  <v>0.00319414018047004</v>
                </pt>
                <pt idx="23">
                  <v>0.006265567621319912</v>
                </pt>
                <pt idx="24">
                  <v>0.01058207811858991</v>
                </pt>
                <pt idx="25">
                  <v>0.004761721000930086</v>
                </pt>
                <pt idx="26">
                  <v>-0.01613667438987498</v>
                </pt>
                <pt idx="27">
                  <v>0.01652619639632991</v>
                </pt>
                <pt idx="28">
                  <v>-0.006441703371412033</v>
                </pt>
                <pt idx="29">
                  <v>0.01671741552045991</v>
                </pt>
                <pt idx="30">
                  <v>-0.01677121655383995</v>
                </pt>
                <pt idx="31">
                  <v>-0.007081054755170957</v>
                </pt>
                <pt idx="32">
                  <v>0.004533772573120043</v>
                </pt>
                <pt idx="33">
                  <v>-0.01046835050418204</v>
                </pt>
                <pt idx="34">
                  <v>-0.008852617825441</v>
                </pt>
                <pt idx="35">
                  <v>-0.011693659078165</v>
                </pt>
                <pt idx="36">
                  <v>0.009578570443639967</v>
                </pt>
                <pt idx="37">
                  <v>-0.009915603617997037</v>
                </pt>
                <pt idx="38">
                  <v>-0.01670093729003197</v>
                </pt>
                <pt idx="39">
                  <v>0.00354513278718005</v>
                </pt>
                <pt idx="40">
                  <v>0.005454176667629929</v>
                </pt>
                <pt idx="41">
                  <v>-0.002528677642159027</v>
                </pt>
                <pt idx="42">
                  <v>0.004090495212790035</v>
                </pt>
                <pt idx="43">
                  <v>-0.001541261548207995</v>
                </pt>
                <pt idx="44">
                  <v>-0.0006696409946540527</v>
                </pt>
                <pt idx="45">
                  <v>-7.916178103595239e-05</v>
                </pt>
                <pt idx="46">
                  <v>-0.0009886454584370208</v>
                </pt>
                <pt idx="47">
                  <v>0.0006452105629599636</v>
                </pt>
                <pt idx="48">
                  <v>0.0007622355248000368</v>
                </pt>
                <pt idx="49">
                  <v>-0.002154805933197945</v>
                </pt>
                <pt idx="50">
                  <v>-0.005517133234785976</v>
                </pt>
                <pt idx="51">
                  <v>-0.001679283845071988</v>
                </pt>
                <pt idx="52">
                  <v>0.002621268201409954</v>
                </pt>
                <pt idx="53">
                  <v>0.003962860834439974</v>
                </pt>
                <pt idx="54">
                  <v>-0.006639824444320985</v>
                </pt>
                <pt idx="55">
                  <v>0.002339923211120087</v>
                </pt>
                <pt idx="56">
                  <v>0.001572187762520105</v>
                </pt>
                <pt idx="57">
                  <v>-0.004915979439633955</v>
                </pt>
                <pt idx="58">
                  <v>0.0009805240732501108</v>
                </pt>
                <pt idx="59">
                  <v>0.0008862663774500401</v>
                </pt>
                <pt idx="60">
                  <v>0.005555100904250043</v>
                </pt>
                <pt idx="61">
                  <v>0.00755222614152995</v>
                </pt>
                <pt idx="62">
                  <v>0.00819083270272003</v>
                </pt>
                <pt idx="63">
                  <v>-0.009980335905154014</v>
                </pt>
                <pt idx="64">
                  <v>0.009093615695529911</v>
                </pt>
                <pt idx="65">
                  <v>-0.01855911311664105</v>
                </pt>
                <pt idx="66">
                  <v>0.0009260899931899935</v>
                </pt>
                <pt idx="67">
                  <v>0.002591968457209992</v>
                </pt>
                <pt idx="68">
                  <v>-0.002891578474585987</v>
                </pt>
                <pt idx="69">
                  <v>-0.001636472905701014</v>
                </pt>
                <pt idx="70">
                  <v>0.0006257620515199847</v>
                </pt>
                <pt idx="71">
                  <v>0.0005421181029099387</v>
                </pt>
                <pt idx="72">
                  <v>0.000254210665459942</v>
                </pt>
              </numCache>
            </numRef>
          </val>
        </ser>
        <ser>
          <idx val="7"/>
          <order val="7"/>
          <tx>
            <strRef>
              <f>GAM!$Y$2</f>
              <strCache>
                <ptCount val="1"/>
                <pt idx="0">
                  <v>USFR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GAM!$Y$3:$Y$75</f>
              <numCache>
                <formatCode>0%</formatCode>
                <ptCount val="7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15193840"/>
        <axId val="415194320"/>
      </barChart>
      <catAx>
        <axId val="41519384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15194320"/>
        <crosses val="autoZero"/>
        <auto val="1"/>
        <lblAlgn val="ctr"/>
        <lblOffset val="100"/>
        <noMultiLvlLbl val="0"/>
      </catAx>
      <valAx>
        <axId val="4151943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151938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GAM!$AA$3:$AA$76</f>
              <numCache>
                <formatCode>0.0%</formatCode>
                <ptCount val="74"/>
                <pt idx="0">
                  <v>0.000146833429351738</v>
                </pt>
                <pt idx="1">
                  <v>-0.0008446835558407403</v>
                </pt>
                <pt idx="2">
                  <v>0.0002168357789024047</v>
                </pt>
                <pt idx="3">
                  <v>-1.598756843411084e-05</v>
                </pt>
                <pt idx="4">
                  <v>0.0001094570387247754</v>
                </pt>
                <pt idx="5">
                  <v>-7.893643124218253e-05</v>
                </pt>
                <pt idx="6">
                  <v>4.802209918841269e-05</v>
                </pt>
                <pt idx="7">
                  <v>0.0001029076283398586</v>
                </pt>
                <pt idx="8">
                  <v>0.0009093981218034616</v>
                </pt>
                <pt idx="9">
                  <v>-0.0005978503054456519</v>
                </pt>
                <pt idx="10">
                  <v>0.0001473725615110423</v>
                </pt>
                <pt idx="11">
                  <v>-0.0001455888811099405</v>
                </pt>
                <pt idx="12">
                  <v>-0.001453893329006917</v>
                </pt>
                <pt idx="13">
                  <v>0.0004702630213849778</v>
                </pt>
                <pt idx="14">
                  <v>6.137572564180252e-05</v>
                </pt>
                <pt idx="15">
                  <v>-4.169343523063515e-05</v>
                </pt>
                <pt idx="16">
                  <v>-0.0004544031676672056</v>
                </pt>
                <pt idx="17">
                  <v>0.007017984379545816</v>
                </pt>
                <pt idx="18">
                  <v>0.008580381597074117</v>
                </pt>
                <pt idx="19">
                  <v>-0.0006150865636128447</v>
                </pt>
                <pt idx="20">
                  <v>0.002555714602908122</v>
                </pt>
                <pt idx="21">
                  <v>-0.001697247992910177</v>
                </pt>
                <pt idx="22">
                  <v>0.0007577227328601846</v>
                </pt>
                <pt idx="23">
                  <v>-0.002962392782416854</v>
                </pt>
                <pt idx="24">
                  <v>0.000689797029805133</v>
                </pt>
                <pt idx="25">
                  <v>-5.319436152281289e-05</v>
                </pt>
                <pt idx="26">
                  <v>-0.0002444963617859244</v>
                </pt>
                <pt idx="27">
                  <v>0.00198496435473982</v>
                </pt>
                <pt idx="28">
                  <v>-0.002014098141446038</v>
                </pt>
                <pt idx="29">
                  <v>0.00285956224548755</v>
                </pt>
                <pt idx="30">
                  <v>0.002326899434680132</v>
                </pt>
                <pt idx="31">
                  <v>-0.00453506835678583</v>
                </pt>
                <pt idx="32">
                  <v>-0.001837523092149771</v>
                </pt>
                <pt idx="33">
                  <v>0.0009620220575720234</v>
                </pt>
                <pt idx="34">
                  <v>6.382989699891053e-05</v>
                </pt>
                <pt idx="35">
                  <v>-0.0001717079259310542</v>
                </pt>
                <pt idx="36">
                  <v>2.299839927270573e-05</v>
                </pt>
                <pt idx="37">
                  <v>0.0008296909532730101</v>
                </pt>
                <pt idx="38">
                  <v>-0.002022227591524997</v>
                </pt>
                <pt idx="39">
                  <v>-0.001316660749895979</v>
                </pt>
                <pt idx="40">
                  <v>0.006001075737069837</v>
                </pt>
                <pt idx="41">
                  <v>0.00269314993446379</v>
                </pt>
                <pt idx="42">
                  <v>0.000712390940009959</v>
                </pt>
                <pt idx="43">
                  <v>-0.0009100302919551606</v>
                </pt>
                <pt idx="44">
                  <v>0.001264547254466029</v>
                </pt>
                <pt idx="45">
                  <v>0.0002491296726339666</v>
                </pt>
                <pt idx="46">
                  <v>-0.0003877975871589417</v>
                </pt>
                <pt idx="47">
                  <v>0.0001064777635377614</v>
                </pt>
                <pt idx="48">
                  <v>-0.0006966441595978971</v>
                </pt>
                <pt idx="49">
                  <v>-0.001316618146321884</v>
                </pt>
                <pt idx="50">
                  <v>8.026984932595765e-05</v>
                </pt>
                <pt idx="51">
                  <v>0.0003939780205068468</v>
                </pt>
                <pt idx="52">
                  <v>-0.000670255086394872</v>
                </pt>
                <pt idx="53">
                  <v>0.0008742889999928324</v>
                </pt>
                <pt idx="54">
                  <v>5.345276779943064e-06</v>
                </pt>
                <pt idx="55">
                  <v>0.0006130525191380305</v>
                </pt>
                <pt idx="56">
                  <v>-0.0009845845890197255</v>
                </pt>
                <pt idx="57">
                  <v>0.0005060000020711379</v>
                </pt>
                <pt idx="58">
                  <v>0.001092048223450052</v>
                </pt>
                <pt idx="59">
                  <v>-0.0004741825880030543</v>
                </pt>
                <pt idx="60">
                  <v>0.0001833278650901805</v>
                </pt>
                <pt idx="61">
                  <v>-2.119069740116192e-05</v>
                </pt>
                <pt idx="62">
                  <v>-0.001273618501991178</v>
                </pt>
                <pt idx="63">
                  <v>-0.0008264343993481249</v>
                </pt>
                <pt idx="64">
                  <v>-0.0005857608796790686</v>
                </pt>
                <pt idx="65">
                  <v>-0.0005257253474739779</v>
                </pt>
                <pt idx="66">
                  <v>0.0006128105477601585</v>
                </pt>
                <pt idx="67">
                  <v>0.0029370211131243</v>
                </pt>
                <pt idx="68">
                  <v>0.0004697090904969073</v>
                </pt>
                <pt idx="69">
                  <v>0.002021567956176891</v>
                </pt>
                <pt idx="70">
                  <v>-0.001429268621192888</v>
                </pt>
                <pt idx="71">
                  <v>-0.0003295986583200655</v>
                </pt>
                <pt idx="72">
                  <formatCode>0.00%</formatCode>
                  <v>-0.001593628639124951</v>
                </pt>
                <pt idx="73">
                  <formatCode>0.00%</formatCode>
                  <v>-0.00208050463068786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584566431"/>
        <axId val="1584567871"/>
      </barChart>
      <catAx>
        <axId val="1584566431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84567871"/>
        <crosses val="autoZero"/>
        <auto val="1"/>
        <lblAlgn val="ctr"/>
        <lblOffset val="100"/>
        <noMultiLvlLbl val="0"/>
      </catAx>
      <valAx>
        <axId val="15845678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84566431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34</col>
      <colOff>619125</colOff>
      <row>20</row>
      <rowOff>171450</rowOff>
    </from>
    <to>
      <col>43</col>
      <colOff>381000</colOff>
      <row>37</row>
      <rowOff>85725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30</col>
      <colOff>242887</colOff>
      <row>14</row>
      <rowOff>147637</rowOff>
    </from>
    <to>
      <col>36</col>
      <colOff>352425</colOff>
      <row>31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30</col>
      <colOff>200025</colOff>
      <row>31</row>
      <rowOff>14287</rowOff>
    </from>
    <to>
      <col>35</col>
      <colOff>990600</colOff>
      <row>45</row>
      <rowOff>90487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9"/>
  <sheetViews>
    <sheetView tabSelected="1" topLeftCell="A66" workbookViewId="0">
      <selection activeCell="D85" sqref="D85"/>
    </sheetView>
  </sheetViews>
  <sheetFormatPr baseColWidth="8" defaultColWidth="8.85546875" defaultRowHeight="15"/>
  <cols>
    <col width="11.7109375" customWidth="1" min="1" max="1"/>
    <col width="19.42578125" bestFit="1" customWidth="1" min="2" max="2"/>
    <col width="18" bestFit="1" customWidth="1" min="3" max="3"/>
    <col width="15.85546875" customWidth="1" min="30" max="30"/>
    <col width="14.140625" customWidth="1" min="31" max="31"/>
    <col width="15.140625" bestFit="1" customWidth="1" min="35" max="35"/>
    <col width="18.42578125" bestFit="1" customWidth="1" min="36" max="36"/>
    <col width="13.28515625" bestFit="1" customWidth="1" min="37" max="37"/>
    <col width="14" bestFit="1" customWidth="1" min="38" max="38"/>
  </cols>
  <sheetData>
    <row r="1">
      <c r="B1" s="4" t="inlineStr">
        <is>
          <t xml:space="preserve">Return </t>
        </is>
      </c>
      <c r="D1" s="4" t="inlineStr">
        <is>
          <t xml:space="preserve">Fee </t>
        </is>
      </c>
      <c r="E1" s="13" t="n">
        <v>0.0075</v>
      </c>
      <c r="F1" s="9" t="n"/>
      <c r="J1" s="4" t="inlineStr">
        <is>
          <t xml:space="preserve">Holding Summary </t>
        </is>
      </c>
      <c r="R1" t="inlineStr">
        <is>
          <t xml:space="preserve">Attribution </t>
        </is>
      </c>
      <c r="Z1" s="10" t="inlineStr">
        <is>
          <t xml:space="preserve">Check </t>
        </is>
      </c>
      <c r="AA1" s="10" t="inlineStr">
        <is>
          <t xml:space="preserve">Check </t>
        </is>
      </c>
      <c r="AE1" s="4" t="inlineStr">
        <is>
          <t>Calculations</t>
        </is>
      </c>
    </row>
    <row r="2" ht="49.5" customHeight="1">
      <c r="B2" s="2" t="inlineStr">
        <is>
          <t>GA Returns (Gross)</t>
        </is>
      </c>
      <c r="C2" s="2" t="inlineStr">
        <is>
          <t>GA Returns (Net)</t>
        </is>
      </c>
      <c r="D2" s="2" t="inlineStr">
        <is>
          <t>ACWI</t>
        </is>
      </c>
      <c r="E2" s="2" t="inlineStr">
        <is>
          <t>AGG</t>
        </is>
      </c>
      <c r="F2" s="2" t="inlineStr">
        <is>
          <t>SPY</t>
        </is>
      </c>
      <c r="G2" s="2" t="inlineStr">
        <is>
          <t>50/50</t>
        </is>
      </c>
      <c r="H2" s="2" t="inlineStr">
        <is>
          <t>60/40</t>
        </is>
      </c>
      <c r="I2" s="2" t="inlineStr">
        <is>
          <t>70/30</t>
        </is>
      </c>
      <c r="J2" s="7" t="inlineStr">
        <is>
          <t>PDBC</t>
        </is>
      </c>
      <c r="K2" s="7" t="inlineStr">
        <is>
          <t>VWO</t>
        </is>
      </c>
      <c r="L2" s="7" t="inlineStr">
        <is>
          <t>IAU</t>
        </is>
      </c>
      <c r="M2" s="7" t="inlineStr">
        <is>
          <t>VEA</t>
        </is>
      </c>
      <c r="N2" s="7" t="inlineStr">
        <is>
          <t>SPY</t>
        </is>
      </c>
      <c r="O2" s="7" t="inlineStr">
        <is>
          <t>SPTL</t>
        </is>
      </c>
      <c r="P2" s="7" t="inlineStr">
        <is>
          <t>VNQ</t>
        </is>
      </c>
      <c r="Q2" s="7" t="inlineStr">
        <is>
          <t>USFR</t>
        </is>
      </c>
      <c r="R2" s="8" t="inlineStr">
        <is>
          <t>PDBC</t>
        </is>
      </c>
      <c r="S2" s="8" t="inlineStr">
        <is>
          <t>VWO</t>
        </is>
      </c>
      <c r="T2" s="8" t="inlineStr">
        <is>
          <t>IAU</t>
        </is>
      </c>
      <c r="U2" s="8" t="inlineStr">
        <is>
          <t>VEA</t>
        </is>
      </c>
      <c r="V2" s="8" t="inlineStr">
        <is>
          <t>SPY</t>
        </is>
      </c>
      <c r="W2" s="8" t="inlineStr">
        <is>
          <t>SPTL</t>
        </is>
      </c>
      <c r="X2" s="8" t="inlineStr">
        <is>
          <t>VNQ</t>
        </is>
      </c>
      <c r="Y2" s="8" t="inlineStr">
        <is>
          <t>USFR</t>
        </is>
      </c>
      <c r="Z2" s="8" t="n"/>
      <c r="AA2" s="8" t="n"/>
      <c r="AD2" s="12" t="n"/>
      <c r="AE2" s="12" t="inlineStr">
        <is>
          <t xml:space="preserve">Year To Date </t>
        </is>
      </c>
      <c r="AF2" s="12" t="inlineStr">
        <is>
          <t xml:space="preserve">1-Year </t>
        </is>
      </c>
      <c r="AG2" s="12" t="inlineStr">
        <is>
          <t>3-Year</t>
        </is>
      </c>
      <c r="AH2" s="12" t="inlineStr">
        <is>
          <t>5-Year</t>
        </is>
      </c>
      <c r="AI2" s="12" t="inlineStr">
        <is>
          <t xml:space="preserve">Since Inception </t>
        </is>
      </c>
      <c r="AJ2" s="12" t="inlineStr">
        <is>
          <t xml:space="preserve">Standard Deviation </t>
        </is>
      </c>
      <c r="AK2" s="12" t="inlineStr">
        <is>
          <t>Sharpe (RF=0)</t>
        </is>
      </c>
      <c r="AL2" s="12" t="inlineStr">
        <is>
          <t>Beta (S&amp;P 500)</t>
        </is>
      </c>
    </row>
    <row r="3">
      <c r="A3" s="1" t="n">
        <v>43677</v>
      </c>
      <c r="B3" s="14" t="n">
        <v>0.00412971616329338</v>
      </c>
      <c r="C3" s="14">
        <f>+B3-($E$1/12)</f>
        <v/>
      </c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  <c r="I3" s="18" t="n">
        <v>0</v>
      </c>
      <c r="J3" s="16" t="n">
        <v>0.00772208269352324</v>
      </c>
      <c r="K3" s="16" t="n">
        <v>0.0258946667397794</v>
      </c>
      <c r="L3" s="16" t="n">
        <v>0.281502308489685</v>
      </c>
      <c r="M3" s="16" t="n">
        <v>0.075984343997131</v>
      </c>
      <c r="N3" s="16" t="n">
        <v>0.112279135915614</v>
      </c>
      <c r="O3" s="16" t="n">
        <v>0.348739273373792</v>
      </c>
      <c r="P3" s="16" t="n">
        <v>0.147878188790474</v>
      </c>
      <c r="Q3" s="16" t="n">
        <v>0</v>
      </c>
      <c r="R3" s="5" t="n">
        <v>-9.280209842799092e-05</v>
      </c>
      <c r="S3" s="5" t="n">
        <v>-0.0006562858141929695</v>
      </c>
      <c r="T3" s="5" t="n">
        <v>0.0005664435858800942</v>
      </c>
      <c r="U3" s="5" t="n">
        <v>-0.001576093362324005</v>
      </c>
      <c r="V3" s="5" t="n">
        <v>0.001387298172280005</v>
      </c>
      <c r="W3" s="5" t="n">
        <v>0.0009037295977700754</v>
      </c>
      <c r="X3" s="5" t="n">
        <v>0.003744259511659909</v>
      </c>
      <c r="Y3" s="5" t="n">
        <v>0</v>
      </c>
      <c r="Z3" s="5">
        <f>+SUM(R3:Y3)</f>
        <v/>
      </c>
      <c r="AA3" s="6">
        <f>+Z3-B3</f>
        <v/>
      </c>
      <c r="AD3" t="inlineStr">
        <is>
          <t>GAM (Net)</t>
        </is>
      </c>
      <c r="AJ3" s="11">
        <f>_xlfn.STDEV.P(C3:C75)*SQRT(12)</f>
        <v/>
      </c>
    </row>
    <row r="4">
      <c r="A4" s="1" t="n">
        <v>43708</v>
      </c>
      <c r="B4" s="14" t="n">
        <v>0.0603162348345196</v>
      </c>
      <c r="C4" s="14">
        <f>+B4-($E$1/12)</f>
        <v/>
      </c>
      <c r="D4" s="18" t="n">
        <v>-0.0221</v>
      </c>
      <c r="E4" s="18" t="n">
        <v>0.0278</v>
      </c>
      <c r="F4" s="18" t="n">
        <v>-0.0167</v>
      </c>
      <c r="G4" s="18" t="n">
        <v>0.0029</v>
      </c>
      <c r="H4" s="18" t="n">
        <v>-0.0021</v>
      </c>
      <c r="I4" s="18" t="n">
        <v>-0.0071</v>
      </c>
      <c r="J4" s="3" t="n">
        <v>0.0117594787089121</v>
      </c>
      <c r="K4" s="3" t="n">
        <v>0.0247300591370891</v>
      </c>
      <c r="L4" s="3" t="n">
        <v>0.176871037023368</v>
      </c>
      <c r="M4" s="3" t="n">
        <v>0.0552127168166485</v>
      </c>
      <c r="N4" s="3" t="n">
        <v>0.145938119486516</v>
      </c>
      <c r="O4" s="3" t="n">
        <v>0.384762548025841</v>
      </c>
      <c r="P4" s="3" t="n">
        <v>0.200726040801624</v>
      </c>
      <c r="Q4" s="3" t="n">
        <v>0</v>
      </c>
      <c r="R4" s="5" t="n">
        <v>-0.0004339232353780531</v>
      </c>
      <c r="S4" s="5" t="n">
        <v>-0.0009621728062190193</v>
      </c>
      <c r="T4" s="5" t="n">
        <v>0.01636800423473006</v>
      </c>
      <c r="U4" s="5" t="n">
        <v>-0.001147403981381023</v>
      </c>
      <c r="V4" s="5" t="n">
        <v>-0.002304353260612957</v>
      </c>
      <c r="W4" s="5" t="n">
        <v>0.04121358359402993</v>
      </c>
      <c r="X4" s="5" t="n">
        <v>0.006737816733509927</v>
      </c>
      <c r="Y4" s="5" t="n">
        <v>0</v>
      </c>
      <c r="Z4" s="5">
        <f>+SUM(R4:Y4)</f>
        <v/>
      </c>
      <c r="AA4" s="6">
        <f>+Z4-B4</f>
        <v/>
      </c>
      <c r="AD4" t="inlineStr">
        <is>
          <t>60/40</t>
        </is>
      </c>
    </row>
    <row r="5">
      <c r="A5" s="1" t="n">
        <v>43738</v>
      </c>
      <c r="B5" s="14" t="n">
        <v>-0.0089171601155864</v>
      </c>
      <c r="C5" s="14">
        <f>+B5-($E$1/12)</f>
        <v/>
      </c>
      <c r="D5" s="18" t="n">
        <v>0.0225</v>
      </c>
      <c r="E5" s="18" t="n">
        <v>-0.0061</v>
      </c>
      <c r="F5" s="18" t="n">
        <v>0.0195</v>
      </c>
      <c r="G5" s="18" t="n">
        <v>0.008200000000000001</v>
      </c>
      <c r="H5" s="18" t="n">
        <v>0.011</v>
      </c>
      <c r="I5" s="18" t="n">
        <v>0.0139</v>
      </c>
      <c r="J5" s="3" t="n">
        <v>0.00678146725660966</v>
      </c>
      <c r="K5" s="3" t="n">
        <v>0.025951229564221</v>
      </c>
      <c r="L5" s="3" t="n">
        <v>0.230644368035894</v>
      </c>
      <c r="M5" s="3" t="n">
        <v>0.0579396545051719</v>
      </c>
      <c r="N5" s="3" t="n">
        <v>0.08196076445542889</v>
      </c>
      <c r="O5" s="3" t="n">
        <v>0.322665725325707</v>
      </c>
      <c r="P5" s="3" t="n">
        <v>0.274056790856966</v>
      </c>
      <c r="Q5" s="3" t="n">
        <v>0</v>
      </c>
      <c r="R5" s="5" t="n">
        <v>7.747287849002582e-05</v>
      </c>
      <c r="S5" s="5" t="n">
        <v>0.0004566818083799884</v>
      </c>
      <c r="T5" s="5" t="n">
        <v>-0.008373695876045972</v>
      </c>
      <c r="U5" s="5" t="n">
        <v>0.001859211809899897</v>
      </c>
      <c r="V5" s="5" t="n">
        <v>0.001275272904710079</v>
      </c>
      <c r="W5" s="5" t="n">
        <v>-0.008523387191547993</v>
      </c>
      <c r="X5" s="5" t="n">
        <v>0.00452811932942998</v>
      </c>
      <c r="Y5" s="5" t="n">
        <v>0</v>
      </c>
      <c r="Z5" s="5">
        <f>+SUM(R5:Y5)</f>
        <v/>
      </c>
      <c r="AA5" s="6">
        <f>+Z5-B5</f>
        <v/>
      </c>
      <c r="AD5" t="inlineStr">
        <is>
          <t>70/30</t>
        </is>
      </c>
    </row>
    <row r="6">
      <c r="A6" s="1" t="n">
        <v>43769</v>
      </c>
      <c r="B6" s="14" t="n">
        <v>0.0128400889063973</v>
      </c>
      <c r="C6" s="14">
        <f>+B6-($E$1/12)</f>
        <v/>
      </c>
      <c r="D6" s="18" t="n">
        <v>0.0274</v>
      </c>
      <c r="E6" s="18" t="n">
        <v>0.0021</v>
      </c>
      <c r="F6" s="18" t="n">
        <v>0.0221</v>
      </c>
      <c r="G6" s="18" t="n">
        <v>0.0147</v>
      </c>
      <c r="H6" s="18" t="n">
        <v>0.0173</v>
      </c>
      <c r="I6" s="18" t="n">
        <v>0.0198</v>
      </c>
      <c r="J6" s="3" t="n">
        <v>0.008934010596428701</v>
      </c>
      <c r="K6" s="3" t="n">
        <v>0.0144439107240839</v>
      </c>
      <c r="L6" s="3" t="n">
        <v>0.196531365155583</v>
      </c>
      <c r="M6" s="3" t="n">
        <v>0.08134514385500349</v>
      </c>
      <c r="N6" s="3" t="n">
        <v>0.113019162834867</v>
      </c>
      <c r="O6" s="3" t="n">
        <v>0.235113773610048</v>
      </c>
      <c r="P6" s="3" t="n">
        <v>0.350612633223984</v>
      </c>
      <c r="Q6" s="3" t="n">
        <v>1.77635683940025e-15</v>
      </c>
      <c r="R6" s="5" t="n">
        <v>0.0001717539884600328</v>
      </c>
      <c r="S6" s="5" t="n">
        <v>0.000519085748059922</v>
      </c>
      <c r="T6" s="5" t="n">
        <v>0.005146655090640051</v>
      </c>
      <c r="U6" s="5" t="n">
        <v>0.002974041797370042</v>
      </c>
      <c r="V6" s="5" t="n">
        <v>0.002850466443480082</v>
      </c>
      <c r="W6" s="5" t="n">
        <v>-0.00235294958173704</v>
      </c>
      <c r="X6" s="5" t="n">
        <v>0.003515047851690101</v>
      </c>
      <c r="Y6" s="5" t="n">
        <v>0</v>
      </c>
      <c r="Z6" s="5">
        <f>+SUM(R6:Y6)</f>
        <v/>
      </c>
      <c r="AA6" s="6">
        <f>+Z6-B6</f>
        <v/>
      </c>
    </row>
    <row r="7">
      <c r="A7" s="1" t="n">
        <v>43799</v>
      </c>
      <c r="B7" s="14" t="n">
        <v>-0.00844091997194773</v>
      </c>
      <c r="C7" s="14">
        <f>+B7-($E$1/12)</f>
        <v/>
      </c>
      <c r="D7" s="18" t="n">
        <v>0.0234</v>
      </c>
      <c r="E7" s="18" t="n">
        <v>-0.0003</v>
      </c>
      <c r="F7" s="18" t="n">
        <v>0.0362</v>
      </c>
      <c r="G7" s="18" t="n">
        <v>0.0115</v>
      </c>
      <c r="H7" s="18" t="n">
        <v>0.0139</v>
      </c>
      <c r="I7" s="18" t="n">
        <v>0.0162</v>
      </c>
      <c r="J7" s="3" t="n">
        <v>0.0100698995261841</v>
      </c>
      <c r="K7" s="3" t="n">
        <v>0.0546853739700659</v>
      </c>
      <c r="L7" s="3" t="n">
        <v>0.222930776368384</v>
      </c>
      <c r="M7" s="3" t="n">
        <v>0.0921881620746384</v>
      </c>
      <c r="N7" s="3" t="n">
        <v>0.08897238088692901</v>
      </c>
      <c r="O7" s="3" t="n">
        <v>0.16322036830796</v>
      </c>
      <c r="P7" s="3" t="n">
        <v>0.367933038865837</v>
      </c>
      <c r="Q7" s="3" t="n">
        <v>0</v>
      </c>
      <c r="R7" s="5" t="n">
        <v>-3.332524070798204e-05</v>
      </c>
      <c r="S7" s="5" t="n">
        <v>-0.0006689544304699924</v>
      </c>
      <c r="T7" s="5" t="n">
        <v>-0.007209120288906967</v>
      </c>
      <c r="U7" s="5" t="n">
        <v>0.000961385893440081</v>
      </c>
      <c r="V7" s="5" t="n">
        <v>0.003485153947669906</v>
      </c>
      <c r="W7" s="5" t="n">
        <v>-0.0007976004255210167</v>
      </c>
      <c r="X7" s="5" t="n">
        <v>-0.004069002388726983</v>
      </c>
      <c r="Y7" s="5" t="n">
        <v>0</v>
      </c>
      <c r="Z7" s="5">
        <f>+SUM(R7:Y7)</f>
        <v/>
      </c>
      <c r="AA7" s="6">
        <f>+Z7-B7</f>
        <v/>
      </c>
    </row>
    <row r="8">
      <c r="A8" s="1" t="n">
        <v>43830</v>
      </c>
      <c r="B8" s="14" t="n">
        <v>0.0231124992980542</v>
      </c>
      <c r="C8" s="14">
        <f>+B8-($E$1/12)</f>
        <v/>
      </c>
      <c r="D8" s="18" t="n">
        <v>0.0343</v>
      </c>
      <c r="E8" s="18" t="n">
        <v>-0.0005</v>
      </c>
      <c r="F8" s="18" t="n">
        <v>0.029</v>
      </c>
      <c r="G8" s="18" t="n">
        <v>0.0169</v>
      </c>
      <c r="H8" s="18" t="n">
        <v>0.0204</v>
      </c>
      <c r="I8" s="18" t="n">
        <v>0.0239</v>
      </c>
      <c r="J8" s="3" t="n">
        <v>0.0233509859853286</v>
      </c>
      <c r="K8" s="3" t="n">
        <v>0.0874341560711112</v>
      </c>
      <c r="L8" s="3" t="n">
        <v>0.105683465778943</v>
      </c>
      <c r="M8" s="3" t="n">
        <v>0.181839815869213</v>
      </c>
      <c r="N8" s="3" t="n">
        <v>0.263972389419401</v>
      </c>
      <c r="O8" s="3" t="n">
        <v>0.09461807911676071</v>
      </c>
      <c r="P8" s="3" t="n">
        <v>0.243101107759241</v>
      </c>
      <c r="Q8" s="3" t="n">
        <v>0</v>
      </c>
      <c r="R8" s="5" t="n">
        <v>0.001372333236149936</v>
      </c>
      <c r="S8" s="5" t="n">
        <v>0.006707584171669945</v>
      </c>
      <c r="T8" s="5" t="n">
        <v>0.003736644893090002</v>
      </c>
      <c r="U8" s="5" t="n">
        <v>0.005890330307680047</v>
      </c>
      <c r="V8" s="5" t="n">
        <v>0.009115607894250033</v>
      </c>
      <c r="W8" s="5" t="n">
        <v>-0.003934974223818055</v>
      </c>
      <c r="X8" s="5" t="n">
        <v>0.0001460365877901104</v>
      </c>
      <c r="Y8" s="5" t="n">
        <v>0</v>
      </c>
      <c r="Z8" s="5">
        <f>+SUM(R8:Y8)</f>
        <v/>
      </c>
      <c r="AA8" s="6">
        <f>+Z8-B8</f>
        <v/>
      </c>
    </row>
    <row r="9">
      <c r="A9" s="1" t="n">
        <v>43861</v>
      </c>
      <c r="B9" s="14" t="n">
        <v>-0.00522234870583926</v>
      </c>
      <c r="C9" s="14">
        <f>+B9-($E$1/12)</f>
        <v/>
      </c>
      <c r="D9" s="18" t="n">
        <v>-0.0144</v>
      </c>
      <c r="E9" s="18" t="n">
        <v>0.0203</v>
      </c>
      <c r="F9" s="18" t="n">
        <v>-0.0004</v>
      </c>
      <c r="G9" s="18" t="n">
        <v>0.003</v>
      </c>
      <c r="H9" s="18" t="n">
        <v>-0.0005</v>
      </c>
      <c r="I9" s="18" t="n">
        <v>-0.004</v>
      </c>
      <c r="J9" s="3" t="n">
        <v>0.0725563170285288</v>
      </c>
      <c r="K9" s="3" t="n">
        <v>0.126235784894163</v>
      </c>
      <c r="L9" s="3" t="n">
        <v>0.194736743943351</v>
      </c>
      <c r="M9" s="3" t="n">
        <v>0.1344034524627</v>
      </c>
      <c r="N9" s="3" t="n">
        <v>0.287760770551366</v>
      </c>
      <c r="O9" s="3" t="n">
        <v>0.036856521277134</v>
      </c>
      <c r="P9" s="3" t="n">
        <v>0.147450409842754</v>
      </c>
      <c r="Q9" s="3" t="n">
        <v>3.219646771412954e-15</v>
      </c>
      <c r="R9" s="5" t="n">
        <v>-0.006218084444141958</v>
      </c>
      <c r="S9" s="5" t="n">
        <v>-0.008172585540727972</v>
      </c>
      <c r="T9" s="5" t="n">
        <v>0.008029110190280075</v>
      </c>
      <c r="U9" s="5" t="n">
        <v>-0.003226204523042009</v>
      </c>
      <c r="V9" s="5" t="n">
        <v>-0.0003031731185290099</v>
      </c>
      <c r="W9" s="5" t="n">
        <v>0.003394130217490021</v>
      </c>
      <c r="X9" s="5" t="n">
        <v>0.001322480612020005</v>
      </c>
      <c r="Y9" s="5" t="n">
        <v>0</v>
      </c>
      <c r="Z9" s="5">
        <f>+SUM(R9:Y9)</f>
        <v/>
      </c>
      <c r="AA9" s="6">
        <f>+Z9-B9</f>
        <v/>
      </c>
    </row>
    <row r="10">
      <c r="A10" s="1" t="n">
        <v>43890</v>
      </c>
      <c r="B10" s="14" t="n">
        <v>-0.0371720727813648</v>
      </c>
      <c r="C10" s="14">
        <f>+B10-($E$1/12)</f>
        <v/>
      </c>
      <c r="D10" s="18" t="n">
        <v>-0.07489999999999999</v>
      </c>
      <c r="E10" s="18" t="n">
        <v>0.0159</v>
      </c>
      <c r="F10" s="18" t="n">
        <v>-0.07920000000000001</v>
      </c>
      <c r="G10" s="18" t="n">
        <v>-0.0295</v>
      </c>
      <c r="H10" s="18" t="n">
        <v>-0.0386</v>
      </c>
      <c r="I10" s="18" t="n">
        <v>-0.0477</v>
      </c>
      <c r="J10" s="3" t="n">
        <v>0</v>
      </c>
      <c r="K10" s="3" t="n">
        <v>0.0410437246759953</v>
      </c>
      <c r="L10" s="3" t="n">
        <v>0.292652207414063</v>
      </c>
      <c r="M10" s="3" t="n">
        <v>0.0960101850781843</v>
      </c>
      <c r="N10" s="3" t="n">
        <v>0.280702469208583</v>
      </c>
      <c r="O10" s="3" t="n">
        <v>0.122754227821591</v>
      </c>
      <c r="P10" s="3" t="n">
        <v>0.166837185801581</v>
      </c>
      <c r="Q10" s="3" t="n">
        <v>2.331468351712829e-15</v>
      </c>
      <c r="R10" s="5" t="n">
        <v>-0.001239840754347021</v>
      </c>
      <c r="S10" s="5" t="n">
        <v>-0.0006058134969350037</v>
      </c>
      <c r="T10" s="5" t="n">
        <v>-0.002027256607827987</v>
      </c>
      <c r="U10" s="5" t="n">
        <v>-0.007159457618414966</v>
      </c>
      <c r="V10" s="5" t="n">
        <v>-0.02144020460047602</v>
      </c>
      <c r="W10" s="5" t="n">
        <v>0.008122187129190106</v>
      </c>
      <c r="X10" s="5" t="n">
        <v>-0.01271877920421405</v>
      </c>
      <c r="Y10" s="5" t="n">
        <v>0</v>
      </c>
      <c r="Z10" s="5">
        <f>+SUM(R10:Y10)</f>
        <v/>
      </c>
      <c r="AA10" s="6">
        <f>+Z10-B10</f>
        <v/>
      </c>
    </row>
    <row r="11">
      <c r="A11" s="1" t="n">
        <v>43921</v>
      </c>
      <c r="B11" s="14" t="n">
        <v>-0.0008977880223874909</v>
      </c>
      <c r="C11" s="14">
        <f>+B11-($E$1/12)</f>
        <v/>
      </c>
      <c r="D11" s="18" t="n">
        <v>-0.1341</v>
      </c>
      <c r="E11" s="18" t="n">
        <v>-0.0053</v>
      </c>
      <c r="F11" s="18" t="n">
        <v>-0.1246</v>
      </c>
      <c r="G11" s="18" t="n">
        <v>-0.0697</v>
      </c>
      <c r="H11" s="18" t="n">
        <v>-0.08260000000000001</v>
      </c>
      <c r="I11" s="18" t="n">
        <v>-0.0954</v>
      </c>
      <c r="J11" s="3" t="n">
        <v>0</v>
      </c>
      <c r="K11" s="3" t="n">
        <v>0.031605455576284</v>
      </c>
      <c r="L11" s="3" t="n">
        <v>0.409382683040019</v>
      </c>
      <c r="M11" s="3" t="n">
        <v>0.0227121532608429</v>
      </c>
      <c r="N11" s="3" t="n">
        <v>0.139982173359671</v>
      </c>
      <c r="O11" s="3" t="n">
        <v>0.343428968387078</v>
      </c>
      <c r="P11" s="3" t="n">
        <v>0.0528885663761036</v>
      </c>
      <c r="Q11" s="3" t="n">
        <v>0</v>
      </c>
      <c r="R11" s="5" t="n">
        <v>0</v>
      </c>
      <c r="S11" s="5" t="n">
        <v>-0.004630056481858991</v>
      </c>
      <c r="T11" s="5" t="n">
        <v>-0.001211992948768947</v>
      </c>
      <c r="U11" s="5" t="n">
        <v>-0.002182723983629953</v>
      </c>
      <c r="V11" s="5" t="n">
        <v>-0.01146960646809703</v>
      </c>
      <c r="W11" s="5" t="n">
        <v>0.02456726004814991</v>
      </c>
      <c r="X11" s="5" t="n">
        <v>-0.00506127006637902</v>
      </c>
      <c r="Y11" s="5" t="n">
        <v>0</v>
      </c>
      <c r="Z11" s="5">
        <f>+SUM(R11:Y11)</f>
        <v/>
      </c>
      <c r="AA11" s="6">
        <f>+Z11-B11</f>
        <v/>
      </c>
    </row>
    <row r="12">
      <c r="A12" s="1" t="n">
        <v>43951</v>
      </c>
      <c r="B12" s="14" t="n">
        <v>0.0588094869329476</v>
      </c>
      <c r="C12" s="14">
        <f>+B12-($E$1/12)</f>
        <v/>
      </c>
      <c r="D12" s="18" t="n">
        <v>0.0983</v>
      </c>
      <c r="E12" s="18" t="n">
        <v>0.0172</v>
      </c>
      <c r="F12" s="18" t="n">
        <v>0.127</v>
      </c>
      <c r="G12" s="18" t="n">
        <v>0.0577</v>
      </c>
      <c r="H12" s="18" t="n">
        <v>0.0659</v>
      </c>
      <c r="I12" s="18" t="n">
        <v>0.074</v>
      </c>
      <c r="J12" s="3" t="n">
        <v>0.00254346007560778</v>
      </c>
      <c r="K12" s="3" t="n">
        <v>0.0262440736496185</v>
      </c>
      <c r="L12" s="3" t="n">
        <v>0.582516487333561</v>
      </c>
      <c r="M12" s="3" t="n">
        <v>0.0198456418615153</v>
      </c>
      <c r="N12" s="3" t="n">
        <v>0.0879990806473636</v>
      </c>
      <c r="O12" s="3" t="n">
        <v>0.265052537249932</v>
      </c>
      <c r="P12" s="3" t="n">
        <v>0.0157987191824005</v>
      </c>
      <c r="Q12" s="3" t="n">
        <v>0</v>
      </c>
      <c r="R12" s="5" t="n">
        <v>8.488012799290345e-07</v>
      </c>
      <c r="S12" s="5" t="n">
        <v>0.001958026606130092</v>
      </c>
      <c r="T12" s="5" t="n">
        <v>0.04050593314327999</v>
      </c>
      <c r="U12" s="5" t="n">
        <v>0.001189925072520026</v>
      </c>
      <c r="V12" s="5" t="n">
        <v>0.009893199034360034</v>
      </c>
      <c r="W12" s="5" t="n">
        <v>0.004783539002839898</v>
      </c>
      <c r="X12" s="5" t="n">
        <v>-0.0001198350329080222</v>
      </c>
      <c r="Y12" s="5" t="n">
        <v>0</v>
      </c>
      <c r="Z12" s="5">
        <f>+SUM(R12:Y12)</f>
        <v/>
      </c>
      <c r="AA12" s="6">
        <f>+Z12-B12</f>
        <v/>
      </c>
    </row>
    <row r="13">
      <c r="A13" s="1" t="n">
        <v>43982</v>
      </c>
      <c r="B13" s="14" t="n">
        <v>0.01438</v>
      </c>
      <c r="C13" s="14">
        <f>+B13-($E$1/12)</f>
        <v/>
      </c>
      <c r="D13" s="18" t="n">
        <v>0.0509</v>
      </c>
      <c r="E13" s="18" t="n">
        <v>0.0067</v>
      </c>
      <c r="F13" s="18" t="n">
        <v>0.0476</v>
      </c>
      <c r="G13" s="18" t="n">
        <v>0.0288</v>
      </c>
      <c r="H13" s="18" t="n">
        <v>0.0333</v>
      </c>
      <c r="I13" s="18" t="n">
        <v>0.0377</v>
      </c>
      <c r="J13" s="3" t="n">
        <v>0</v>
      </c>
      <c r="K13" s="3" t="n">
        <v>0.0265682757023705</v>
      </c>
      <c r="L13" s="3" t="n">
        <v>0.560257223061318</v>
      </c>
      <c r="M13" s="3" t="n">
        <v>0.0224149256954875</v>
      </c>
      <c r="N13" s="3" t="n">
        <v>0.07577182992017931</v>
      </c>
      <c r="O13" s="3" t="n">
        <v>0.300288404628877</v>
      </c>
      <c r="P13" s="3" t="n">
        <v>0.014699340991767</v>
      </c>
      <c r="Q13" s="3" t="n">
        <v>0</v>
      </c>
      <c r="R13" s="5" t="n">
        <v>-3.073983273305103e-05</v>
      </c>
      <c r="S13" s="5" t="n">
        <v>0.0007970351804100773</v>
      </c>
      <c r="T13" s="5" t="n">
        <v>0.01474510654009009</v>
      </c>
      <c r="U13" s="5" t="n">
        <v>0.001270308307369961</v>
      </c>
      <c r="V13" s="5" t="n">
        <v>0.0031013765766299</v>
      </c>
      <c r="W13" s="5" t="n">
        <v>-0.005529874236365973</v>
      </c>
      <c r="X13" s="5" t="n">
        <v>0.0001741600261100373</v>
      </c>
      <c r="Y13" s="5" t="n">
        <v>0</v>
      </c>
      <c r="Z13" s="5">
        <f>+SUM(R13:Y13)</f>
        <v/>
      </c>
      <c r="AA13" s="6">
        <f>+Z13-B13</f>
        <v/>
      </c>
    </row>
    <row r="14">
      <c r="A14" s="1" t="n">
        <v>44012</v>
      </c>
      <c r="B14" s="14" t="n">
        <v>0.02106849</v>
      </c>
      <c r="C14" s="14">
        <f>+B14-($E$1/12)</f>
        <v/>
      </c>
      <c r="D14" s="18" t="n">
        <v>0.0293</v>
      </c>
      <c r="E14" s="18" t="n">
        <v>0.0066</v>
      </c>
      <c r="F14" s="18" t="n">
        <v>0.0178</v>
      </c>
      <c r="G14" s="18" t="n">
        <v>0.018</v>
      </c>
      <c r="H14" s="18" t="n">
        <v>0.0202</v>
      </c>
      <c r="I14" s="18" t="n">
        <v>0.0225</v>
      </c>
      <c r="J14" s="3" t="n">
        <v>0.00400935377534554</v>
      </c>
      <c r="K14" s="3" t="n">
        <v>0.0267837052313412</v>
      </c>
      <c r="L14" s="3" t="n">
        <v>0.568378758120578</v>
      </c>
      <c r="M14" s="3" t="n">
        <v>0.0367065503902107</v>
      </c>
      <c r="N14" s="3" t="n">
        <v>0.09399115948066079</v>
      </c>
      <c r="O14" s="3" t="n">
        <v>0.253810877897793</v>
      </c>
      <c r="P14" s="3" t="n">
        <v>0.0163195951040689</v>
      </c>
      <c r="Q14" s="3" t="n">
        <v>1.77635683940025e-15</v>
      </c>
      <c r="R14" s="5" t="n">
        <v>0.0001582115678100404</v>
      </c>
      <c r="S14" s="5" t="n">
        <v>0.001793448392459984</v>
      </c>
      <c r="T14" s="5" t="n">
        <v>0.01538377720558004</v>
      </c>
      <c r="U14" s="5" t="n">
        <v>0.001023291856860009</v>
      </c>
      <c r="V14" s="5" t="n">
        <v>0.001668253303080069</v>
      </c>
      <c r="W14" s="5" t="n">
        <v>0.0004972343928799638</v>
      </c>
      <c r="X14" s="5" t="n">
        <v>0.0003986844002199508</v>
      </c>
      <c r="Y14" s="5" t="n">
        <v>0</v>
      </c>
      <c r="Z14" s="5">
        <f>+SUM(R14:Y14)</f>
        <v/>
      </c>
      <c r="AA14" s="6">
        <f>+Z14-B14</f>
        <v/>
      </c>
    </row>
    <row r="15">
      <c r="A15" s="1" t="n">
        <v>44043</v>
      </c>
      <c r="B15" s="14" t="n">
        <v>0.07161000789812721</v>
      </c>
      <c r="C15" s="14">
        <f>+B15-($E$1/12)</f>
        <v/>
      </c>
      <c r="D15" s="18" t="n">
        <v>0.0536</v>
      </c>
      <c r="E15" s="18" t="n">
        <v>0.0133</v>
      </c>
      <c r="F15" s="18" t="n">
        <v>0.0589</v>
      </c>
      <c r="G15" s="18" t="n">
        <v>0.0335</v>
      </c>
      <c r="H15" s="18" t="n">
        <v>0.0375</v>
      </c>
      <c r="I15" s="18" t="n">
        <v>0.0415</v>
      </c>
      <c r="J15" s="3" t="n">
        <v>0.0349429470459329</v>
      </c>
      <c r="K15" s="3" t="n">
        <v>0.0693582828600135</v>
      </c>
      <c r="L15" s="3" t="n">
        <v>0.39092355181348</v>
      </c>
      <c r="M15" s="3" t="n">
        <v>0.0316911348257787</v>
      </c>
      <c r="N15" s="3" t="n">
        <v>0.105067375029977</v>
      </c>
      <c r="O15" s="3" t="n">
        <v>0.360410095699612</v>
      </c>
      <c r="P15" s="3" t="n">
        <v>0.00760661272520485</v>
      </c>
      <c r="Q15" s="3" t="n">
        <v>0</v>
      </c>
      <c r="R15" s="5" t="n">
        <v>0.001497651333540073</v>
      </c>
      <c r="S15" s="5" t="n">
        <v>0.005201201719160053</v>
      </c>
      <c r="T15" s="5" t="n">
        <v>0.04060379893442989</v>
      </c>
      <c r="U15" s="5" t="n">
        <v>0.0006741477532901108</v>
      </c>
      <c r="V15" s="5" t="n">
        <v>0.00595503357920002</v>
      </c>
      <c r="W15" s="5" t="n">
        <v>0.01574047933186007</v>
      </c>
      <c r="X15" s="5" t="n">
        <v>0.000483801917640081</v>
      </c>
      <c r="Y15" s="5" t="n">
        <v>0</v>
      </c>
      <c r="Z15" s="5">
        <f>+SUM(R15:Y15)</f>
        <v/>
      </c>
      <c r="AA15" s="6">
        <f>+Z15-B15</f>
        <v/>
      </c>
    </row>
    <row r="16">
      <c r="A16" s="1" t="n">
        <v>44074</v>
      </c>
      <c r="B16" s="14" t="n">
        <v>-0.003021366659231917</v>
      </c>
      <c r="C16" s="14">
        <f>+B16-($E$1/12)</f>
        <v/>
      </c>
      <c r="D16" s="18" t="n">
        <v>0.0603</v>
      </c>
      <c r="E16" s="18" t="n">
        <v>-0.008200000000000001</v>
      </c>
      <c r="F16" s="18" t="n">
        <v>0.0698</v>
      </c>
      <c r="G16" s="18" t="n">
        <v>0.026</v>
      </c>
      <c r="H16" s="18" t="n">
        <v>0.0329</v>
      </c>
      <c r="I16" s="18" t="n">
        <v>0.0397</v>
      </c>
      <c r="J16" s="3" t="n">
        <v>0.0389712748950514</v>
      </c>
      <c r="K16" s="3" t="n">
        <v>0.0616305755877646</v>
      </c>
      <c r="L16" s="3" t="n">
        <v>0.460126496770861</v>
      </c>
      <c r="M16" s="3" t="n">
        <v>0.0224991487193359</v>
      </c>
      <c r="N16" s="3" t="n">
        <v>0.124097429427255</v>
      </c>
      <c r="O16" s="3" t="n">
        <v>0.283967746278868</v>
      </c>
      <c r="P16" s="3" t="n">
        <v>0.008707328320863071</v>
      </c>
      <c r="Q16" s="3" t="n">
        <v>0</v>
      </c>
      <c r="R16" s="5" t="n">
        <v>0.001778861285069988</v>
      </c>
      <c r="S16" s="5" t="n">
        <v>0.001882966023500021</v>
      </c>
      <c r="T16" s="5" t="n">
        <v>-0.001375049597839961</v>
      </c>
      <c r="U16" s="5" t="n">
        <v>0.00120656552908005</v>
      </c>
      <c r="V16" s="5" t="n">
        <v>0.008554411214559909</v>
      </c>
      <c r="W16" s="5" t="n">
        <v>-0.014642248124207</v>
      </c>
      <c r="X16" s="5" t="n">
        <v>4.339003199005376e-05</v>
      </c>
      <c r="Y16" s="5" t="n">
        <v>0</v>
      </c>
      <c r="Z16" s="5">
        <f>+SUM(R16:Y16)</f>
        <v/>
      </c>
      <c r="AA16" s="6">
        <f>+Z16-B16</f>
        <v/>
      </c>
    </row>
    <row r="17">
      <c r="A17" s="1" t="n">
        <v>44104</v>
      </c>
      <c r="B17" s="14" t="n">
        <v>-0.02314367212297275</v>
      </c>
      <c r="C17" s="14">
        <f>+B17-($E$1/12)</f>
        <v/>
      </c>
      <c r="D17" s="18" t="n">
        <v>-0.0295</v>
      </c>
      <c r="E17" s="18" t="n">
        <v>-0.001</v>
      </c>
      <c r="F17" s="18" t="n">
        <v>-0.0374</v>
      </c>
      <c r="G17" s="18" t="n">
        <v>-0.0152</v>
      </c>
      <c r="H17" s="18" t="n">
        <v>-0.0181</v>
      </c>
      <c r="I17" s="18" t="n">
        <v>-0.0209</v>
      </c>
      <c r="J17" s="3" t="n">
        <v>0.114581917645374</v>
      </c>
      <c r="K17" s="3" t="n">
        <v>0.104460997781396</v>
      </c>
      <c r="L17" s="3" t="n">
        <v>0.221693332709791</v>
      </c>
      <c r="M17" s="3" t="n">
        <v>0.0391311492515822</v>
      </c>
      <c r="N17" s="3" t="n">
        <v>0.223537076604232</v>
      </c>
      <c r="O17" s="3" t="n">
        <v>0.2858414752356</v>
      </c>
      <c r="P17" s="3" t="n">
        <v>0.010754050772021</v>
      </c>
      <c r="Q17" s="3" t="n">
        <v>3.885780586188048e-15</v>
      </c>
      <c r="R17" s="5" t="n">
        <v>-0.004189855276446997</v>
      </c>
      <c r="S17" s="5" t="n">
        <v>-0.001696834866883989</v>
      </c>
      <c r="T17" s="5" t="n">
        <v>-0.009026421685338959</v>
      </c>
      <c r="U17" s="5" t="n">
        <v>-0.0008093768683049563</v>
      </c>
      <c r="V17" s="5" t="n">
        <v>-0.009085840930614042</v>
      </c>
      <c r="W17" s="5" t="n">
        <v>0.001975210345249945</v>
      </c>
      <c r="X17" s="5" t="n">
        <v>-0.0002491771149919497</v>
      </c>
      <c r="Y17" s="5" t="n">
        <v>0</v>
      </c>
      <c r="Z17" s="5">
        <f>+SUM(R17:Y17)</f>
        <v/>
      </c>
      <c r="AA17" s="6">
        <f>+Z17-B17</f>
        <v/>
      </c>
    </row>
    <row r="18">
      <c r="A18" s="1" t="n">
        <v>44135</v>
      </c>
      <c r="B18" s="14" t="n">
        <v>-0.02200770481887926</v>
      </c>
      <c r="C18" s="14">
        <f>+B18-($E$1/12)</f>
        <v/>
      </c>
      <c r="D18" s="18" t="n">
        <v>-0.0223</v>
      </c>
      <c r="E18" s="18" t="n">
        <v>-0.0056</v>
      </c>
      <c r="F18" s="18" t="n">
        <v>-0.0249</v>
      </c>
      <c r="G18" s="18" t="n">
        <v>-0.0139</v>
      </c>
      <c r="H18" s="18" t="n">
        <v>-0.0156</v>
      </c>
      <c r="I18" s="18" t="n">
        <v>-0.0173</v>
      </c>
      <c r="J18" s="3" t="n">
        <v>0.08933402496361199</v>
      </c>
      <c r="K18" s="3" t="n">
        <v>0.123495931272374</v>
      </c>
      <c r="L18" s="3" t="n">
        <v>0.153592958801544</v>
      </c>
      <c r="M18" s="3" t="n">
        <v>0.0696586594170666</v>
      </c>
      <c r="N18" s="3" t="n">
        <v>0.169911715413828</v>
      </c>
      <c r="O18" s="3" t="n">
        <v>0.364882567936804</v>
      </c>
      <c r="P18" s="3" t="n">
        <v>0.0291241421947687</v>
      </c>
      <c r="Q18" s="3" t="n">
        <v>2.775557561562891e-15</v>
      </c>
      <c r="R18" s="5" t="n">
        <v>-0.003132462729373953</v>
      </c>
      <c r="S18" s="5" t="n">
        <v>0.001566789092140031</v>
      </c>
      <c r="T18" s="5" t="n">
        <v>-0.0001988567289710197</v>
      </c>
      <c r="U18" s="5" t="n">
        <v>-0.002615830449530954</v>
      </c>
      <c r="V18" s="5" t="n">
        <v>-0.003890619505698023</v>
      </c>
      <c r="W18" s="5" t="n">
        <v>-0.01261779875781199</v>
      </c>
      <c r="X18" s="5" t="n">
        <v>-0.001160619174863986</v>
      </c>
      <c r="Y18" s="5" t="n">
        <v>0</v>
      </c>
      <c r="Z18" s="5">
        <f>+SUM(R18:Y18)</f>
        <v/>
      </c>
      <c r="AA18" s="6">
        <f>+Z18-B18</f>
        <v/>
      </c>
    </row>
    <row r="19">
      <c r="A19" s="1" t="n">
        <v>44165</v>
      </c>
      <c r="B19" s="14" t="n">
        <v>0.0460130083211614</v>
      </c>
      <c r="C19" s="14">
        <f>+B19-($E$1/12)</f>
        <v/>
      </c>
      <c r="D19" s="18" t="n">
        <v>0.1176</v>
      </c>
      <c r="E19" s="18" t="n">
        <v>0.0121</v>
      </c>
      <c r="F19" s="18" t="n">
        <v>0.1088</v>
      </c>
      <c r="G19" s="18" t="n">
        <v>0.0648</v>
      </c>
      <c r="H19" s="18" t="n">
        <v>0.07539999999999999</v>
      </c>
      <c r="I19" s="18" t="n">
        <v>0.0859</v>
      </c>
      <c r="J19" s="3" t="n">
        <v>0.07869540626105199</v>
      </c>
      <c r="K19" s="3" t="n">
        <v>0.199276289528471</v>
      </c>
      <c r="L19" s="3" t="n">
        <v>0.181661969584877</v>
      </c>
      <c r="M19" s="3" t="n">
        <v>0.055511468785235</v>
      </c>
      <c r="N19" s="3" t="n">
        <v>0.127207190809155</v>
      </c>
      <c r="O19" s="3" t="n">
        <v>0.320810365881858</v>
      </c>
      <c r="P19" s="3" t="n">
        <v>0.0368373091493502</v>
      </c>
      <c r="Q19" s="3" t="n">
        <v>0</v>
      </c>
      <c r="R19" s="5" t="n">
        <v>0.00795877810371004</v>
      </c>
      <c r="S19" s="5" t="n">
        <v>0.01665066753382005</v>
      </c>
      <c r="T19" s="5" t="n">
        <v>-0.009446278921455997</v>
      </c>
      <c r="U19" s="5" t="n">
        <v>0.00788828450894008</v>
      </c>
      <c r="V19" s="5" t="n">
        <v>0.0140365606680799</v>
      </c>
      <c r="W19" s="5" t="n">
        <v>0.005598261418430006</v>
      </c>
      <c r="X19" s="5" t="n">
        <v>0.00287233184197011</v>
      </c>
      <c r="Y19" s="5" t="n">
        <v>0</v>
      </c>
      <c r="Z19" s="5">
        <f>+SUM(R19:Y19)</f>
        <v/>
      </c>
      <c r="AA19" s="6">
        <f>+Z19-B19</f>
        <v/>
      </c>
    </row>
    <row r="20">
      <c r="A20" s="1" t="n">
        <v>44196</v>
      </c>
      <c r="B20" s="14" t="n">
        <v>0.03329165789</v>
      </c>
      <c r="C20" s="14">
        <f>+B20-($E$1/12)</f>
        <v/>
      </c>
      <c r="D20" s="18" t="n">
        <v>0.0469</v>
      </c>
      <c r="E20" s="18" t="n">
        <v>0.0009</v>
      </c>
      <c r="F20" s="18" t="n">
        <v>0.0371</v>
      </c>
      <c r="G20" s="18" t="n">
        <v>0.0239</v>
      </c>
      <c r="H20" s="18" t="n">
        <v>0.0285</v>
      </c>
      <c r="I20" s="18" t="n">
        <v>0.0331</v>
      </c>
      <c r="J20" s="3" t="n">
        <v>0.132122493555971</v>
      </c>
      <c r="K20" s="3" t="n">
        <v>0.245410215933034</v>
      </c>
      <c r="L20" s="3" t="n">
        <v>0.162814917454504</v>
      </c>
      <c r="M20" s="3" t="n">
        <v>0.09574139672606791</v>
      </c>
      <c r="N20" s="3" t="n">
        <v>0.119814827072122</v>
      </c>
      <c r="O20" s="3" t="n">
        <v>0.200564312702334</v>
      </c>
      <c r="P20" s="3" t="n">
        <v>0.043531836555966</v>
      </c>
      <c r="Q20" s="3" t="n">
        <v>0</v>
      </c>
      <c r="R20" s="5" t="n">
        <v>0.007294848063380099</v>
      </c>
      <c r="S20" s="5" t="n">
        <v>0.0164686548592099</v>
      </c>
      <c r="T20" s="5" t="n">
        <v>0.01124180202976</v>
      </c>
      <c r="U20" s="5" t="n">
        <v>0.003910936185610003</v>
      </c>
      <c r="V20" s="5" t="n">
        <v>0.004534236088789889</v>
      </c>
      <c r="W20" s="5" t="n">
        <v>-0.004148250920874008</v>
      </c>
      <c r="X20" s="5" t="n">
        <v>0.001007415963669933</v>
      </c>
      <c r="Y20" s="5" t="n">
        <v>0</v>
      </c>
      <c r="Z20" s="5">
        <f>+SUM(R20:Y20)</f>
        <v/>
      </c>
      <c r="AA20" s="6">
        <f>+Z20-B20</f>
        <v/>
      </c>
    </row>
    <row r="21">
      <c r="A21" s="1" t="n">
        <v>44227</v>
      </c>
      <c r="B21" s="14" t="n">
        <v>-0.00289388341</v>
      </c>
      <c r="C21" s="14">
        <f>+B21-($E$1/12)</f>
        <v/>
      </c>
      <c r="D21" s="18" t="n">
        <v>-0.0031</v>
      </c>
      <c r="E21" s="18" t="n">
        <v>-0.0074</v>
      </c>
      <c r="F21" s="18" t="n">
        <v>-0.0102</v>
      </c>
      <c r="G21" s="18" t="n">
        <v>-0.0053</v>
      </c>
      <c r="H21" s="18" t="n">
        <v>-0.0048</v>
      </c>
      <c r="I21" s="18" t="n">
        <v>-0.0044</v>
      </c>
      <c r="J21" s="3" t="n">
        <v>0.214890347287428</v>
      </c>
      <c r="K21" s="3" t="n">
        <v>0.232435322877697</v>
      </c>
      <c r="L21" s="3" t="n">
        <v>0.15085989010592</v>
      </c>
      <c r="M21" s="3" t="n">
        <v>0.114226777956842</v>
      </c>
      <c r="N21" s="3" t="n">
        <v>0.134043652062354</v>
      </c>
      <c r="O21" s="3" t="n">
        <v>0.0960186568078423</v>
      </c>
      <c r="P21" s="3" t="n">
        <v>0.0575253529019141</v>
      </c>
      <c r="Q21" s="3" t="n">
        <v>2.55351295663786e-15</v>
      </c>
      <c r="R21" s="5" t="n">
        <v>0.007686110071440044</v>
      </c>
      <c r="S21" s="5" t="n">
        <v>0.007523990994680041</v>
      </c>
      <c r="T21" s="5" t="n">
        <v>-0.004231579414877951</v>
      </c>
      <c r="U21" s="5" t="n">
        <v>-0.0008938615305910114</v>
      </c>
      <c r="V21" s="5" t="n">
        <v>-0.00109387311254705</v>
      </c>
      <c r="W21" s="5" t="n">
        <v>-0.003584016237780041</v>
      </c>
      <c r="X21" s="5" t="n">
        <v>0.0002797274167500863</v>
      </c>
      <c r="Y21" s="5" t="n">
        <v>0</v>
      </c>
      <c r="Z21" s="5">
        <f>+SUM(R21:Y21)</f>
        <v/>
      </c>
      <c r="AA21" s="6">
        <f>+Z21-B21</f>
        <v/>
      </c>
    </row>
    <row r="22">
      <c r="A22" s="1" t="n">
        <v>44255</v>
      </c>
      <c r="B22" s="14" t="n">
        <v>0.03506364763</v>
      </c>
      <c r="C22" s="14">
        <f>+B22-($E$1/12)</f>
        <v/>
      </c>
      <c r="D22" s="18" t="n">
        <v>0.0229</v>
      </c>
      <c r="E22" s="18" t="n">
        <v>-0.0152</v>
      </c>
      <c r="F22" s="18" t="n">
        <v>0.0278</v>
      </c>
      <c r="G22" s="18" t="n">
        <v>0.0039</v>
      </c>
      <c r="H22" s="18" t="n">
        <v>0.0077</v>
      </c>
      <c r="I22" s="18" t="n">
        <v>0.0115</v>
      </c>
      <c r="J22" s="3" t="n">
        <v>0.335438310417539</v>
      </c>
      <c r="K22" s="3" t="n">
        <v>0.177058323413894</v>
      </c>
      <c r="L22" s="3" t="n">
        <v>0.122124478039086</v>
      </c>
      <c r="M22" s="3" t="n">
        <v>0.112435558187643</v>
      </c>
      <c r="N22" s="3" t="n">
        <v>0.158135561457122</v>
      </c>
      <c r="O22" s="3" t="n">
        <v>0.0204675575389404</v>
      </c>
      <c r="P22" s="3" t="n">
        <v>0.07434021094577439</v>
      </c>
      <c r="Q22" s="3" t="n">
        <v>0</v>
      </c>
      <c r="R22" s="5" t="n">
        <v>0.03104036206454008</v>
      </c>
      <c r="S22" s="5" t="n">
        <v>0.003418368987750053</v>
      </c>
      <c r="T22" s="5" t="n">
        <v>-0.007101012897795966</v>
      </c>
      <c r="U22" s="5" t="n">
        <v>0.002568662169250002</v>
      </c>
      <c r="V22" s="5" t="n">
        <v>0.004100255375079964</v>
      </c>
      <c r="W22" s="5" t="n">
        <v>-0.001053755124307054</v>
      </c>
      <c r="X22" s="5" t="n">
        <v>0.001475680491870079</v>
      </c>
      <c r="Y22" s="5" t="n">
        <v>0</v>
      </c>
      <c r="Z22" s="5">
        <f>+SUM(R22:Y22)</f>
        <v/>
      </c>
      <c r="AA22" s="6">
        <f>+Z22-B22</f>
        <v/>
      </c>
    </row>
    <row r="23">
      <c r="A23" s="1" t="n">
        <v>44286</v>
      </c>
      <c r="B23" s="14" t="n">
        <v>0.01190545785</v>
      </c>
      <c r="C23" s="14">
        <f>+B23-($E$1/12)</f>
        <v/>
      </c>
      <c r="D23" s="18" t="n">
        <v>0.0285</v>
      </c>
      <c r="E23" s="18" t="n">
        <v>-0.0115</v>
      </c>
      <c r="F23" s="18" t="n">
        <v>0.0454</v>
      </c>
      <c r="G23" s="18" t="n">
        <v>0.008500000000000001</v>
      </c>
      <c r="H23" s="18" t="n">
        <v>0.0125</v>
      </c>
      <c r="I23" s="18" t="n">
        <v>0.0165</v>
      </c>
      <c r="J23" s="3" t="n">
        <v>0.353180232102359</v>
      </c>
      <c r="K23" s="3" t="n">
        <v>0.123876332167826</v>
      </c>
      <c r="L23" s="3" t="n">
        <v>0.0585445428404495</v>
      </c>
      <c r="M23" s="3" t="n">
        <v>0.127967750225121</v>
      </c>
      <c r="N23" s="3" t="n">
        <v>0.226240052082316</v>
      </c>
      <c r="O23" s="3" t="n">
        <v>0.00618873780238245</v>
      </c>
      <c r="P23" s="3" t="n">
        <v>0.104002352779543</v>
      </c>
      <c r="Q23" s="3" t="n">
        <v>3.108624468950438e-15</v>
      </c>
      <c r="R23" s="5" t="n">
        <v>-0.00214149729993296</v>
      </c>
      <c r="S23" s="5" t="n">
        <v>0.0005276378348899602</v>
      </c>
      <c r="T23" s="5" t="n">
        <v>-0.000746943970776015</v>
      </c>
      <c r="U23" s="5" t="n">
        <v>0.002918314371650021</v>
      </c>
      <c r="V23" s="5" t="n">
        <v>0.008526982308300068</v>
      </c>
      <c r="W23" s="5" t="n">
        <v>-0.0004909350492630082</v>
      </c>
      <c r="X23" s="5" t="n">
        <v>0.005867614258040055</v>
      </c>
      <c r="Y23" s="5" t="n">
        <v>0</v>
      </c>
      <c r="Z23" s="5">
        <f>+SUM(R23:Y23)</f>
        <v/>
      </c>
      <c r="AA23" s="6">
        <f>+Z23-B23</f>
        <v/>
      </c>
    </row>
    <row r="24">
      <c r="A24" s="1" t="n">
        <v>44316</v>
      </c>
      <c r="B24" s="14" t="n">
        <v>0.05373728900999999</v>
      </c>
      <c r="C24" s="14">
        <f>+B24-($E$1/12)</f>
        <v/>
      </c>
      <c r="D24" s="18" t="n">
        <v>0.0425</v>
      </c>
      <c r="E24" s="18" t="n">
        <v>0.0073</v>
      </c>
      <c r="F24" s="18" t="n">
        <v>0.0529</v>
      </c>
      <c r="G24" s="18" t="n">
        <v>0.0249</v>
      </c>
      <c r="H24" s="18" t="n">
        <v>0.0284</v>
      </c>
      <c r="I24" s="18" t="n">
        <v>0.0319</v>
      </c>
      <c r="J24" s="3" t="n">
        <v>0.207519539505122</v>
      </c>
      <c r="K24" s="3" t="n">
        <v>0.112546890222867</v>
      </c>
      <c r="L24" s="3" t="n">
        <v>0.0529248567882996</v>
      </c>
      <c r="M24" s="3" t="n">
        <v>0.20656038946921</v>
      </c>
      <c r="N24" s="3" t="n">
        <v>0.230414073617956</v>
      </c>
      <c r="O24" s="3" t="n">
        <v>0</v>
      </c>
      <c r="P24" s="3" t="n">
        <v>0.190034250396543</v>
      </c>
      <c r="Q24" s="3" t="n">
        <v>2.442490654175344e-15</v>
      </c>
      <c r="R24" s="5" t="n">
        <v>0.01828438726654991</v>
      </c>
      <c r="S24" s="5" t="n">
        <v>0.001434575423739926</v>
      </c>
      <c r="T24" s="5" t="n">
        <v>0.001922729803579992</v>
      </c>
      <c r="U24" s="5" t="n">
        <v>0.00508284111550994</v>
      </c>
      <c r="V24" s="5" t="n">
        <v>0.01206528819872998</v>
      </c>
      <c r="W24" s="5" t="n">
        <v>9.797656769006124e-05</v>
      </c>
      <c r="X24" s="5" t="n">
        <v>0.01315224264129</v>
      </c>
      <c r="Y24" s="5" t="n">
        <v>0</v>
      </c>
      <c r="Z24" s="5">
        <f>+SUM(R24:Y24)</f>
        <v/>
      </c>
      <c r="AA24" s="6">
        <f>+Z24-B24</f>
        <v/>
      </c>
    </row>
    <row r="25">
      <c r="A25" s="1" t="n">
        <v>44347</v>
      </c>
      <c r="B25" s="14" t="n">
        <v>0.02323574269</v>
      </c>
      <c r="C25" s="14">
        <f>+B25-($E$1/12)</f>
        <v/>
      </c>
      <c r="D25" s="18" t="n">
        <v>0.0147</v>
      </c>
      <c r="E25" s="18" t="n">
        <v>0.002</v>
      </c>
      <c r="F25" s="18" t="n">
        <v>0.0066</v>
      </c>
      <c r="G25" s="18" t="n">
        <v>0.008399999999999999</v>
      </c>
      <c r="H25" s="18" t="n">
        <v>0.009599999999999999</v>
      </c>
      <c r="I25" s="18" t="n">
        <v>0.0109</v>
      </c>
      <c r="J25" s="3" t="n">
        <v>0.18338540276222</v>
      </c>
      <c r="K25" s="3" t="n">
        <v>0.0886673786334007</v>
      </c>
      <c r="L25" s="3" t="n">
        <v>0.0594410846365811</v>
      </c>
      <c r="M25" s="3" t="n">
        <v>0.161334306502571</v>
      </c>
      <c r="N25" s="3" t="n">
        <v>0.210391018385576</v>
      </c>
      <c r="O25" s="3" t="n">
        <v>0</v>
      </c>
      <c r="P25" s="3" t="n">
        <v>0.296780809079649</v>
      </c>
      <c r="Q25" s="3" t="n">
        <v>2.109423746787797e-15</v>
      </c>
      <c r="R25" s="5" t="n">
        <v>0.00721362135455994</v>
      </c>
      <c r="S25" s="5" t="n">
        <v>0.001481471832740056</v>
      </c>
      <c r="T25" s="5" t="n">
        <v>0.004439578315809989</v>
      </c>
      <c r="U25" s="5" t="n">
        <v>0.006126182902520094</v>
      </c>
      <c r="V25" s="5" t="n">
        <v>0.001538470836760064</v>
      </c>
      <c r="W25" s="5" t="n">
        <v>0</v>
      </c>
      <c r="X25" s="5" t="n">
        <v>0.00319414018047004</v>
      </c>
      <c r="Y25" s="5" t="n">
        <v>0</v>
      </c>
      <c r="Z25" s="5">
        <f>+SUM(R25:Y25)</f>
        <v/>
      </c>
      <c r="AA25" s="6">
        <f>+Z25-B25</f>
        <v/>
      </c>
    </row>
    <row r="26">
      <c r="A26" s="1" t="n">
        <v>44377</v>
      </c>
      <c r="B26" s="14" t="n">
        <v>0.00896845223</v>
      </c>
      <c r="C26" s="14">
        <f>+B26-($E$1/12)</f>
        <v/>
      </c>
      <c r="D26" s="18" t="n">
        <v>0.0126</v>
      </c>
      <c r="E26" s="18" t="n">
        <v>0.0083</v>
      </c>
      <c r="F26" s="18" t="n">
        <v>0.0225</v>
      </c>
      <c r="G26" s="18" t="n">
        <v>0.0104</v>
      </c>
      <c r="H26" s="18" t="n">
        <v>0.0109</v>
      </c>
      <c r="I26" s="18" t="n">
        <v>0.0113</v>
      </c>
      <c r="J26" s="3" t="n">
        <v>0.182249653484202</v>
      </c>
      <c r="K26" s="3" t="n">
        <v>0.08474129590538181</v>
      </c>
      <c r="L26" s="3" t="n">
        <v>0.138879686453762</v>
      </c>
      <c r="M26" s="3" t="n">
        <v>0.180465387866333</v>
      </c>
      <c r="N26" s="3" t="n">
        <v>0.171799795967206</v>
      </c>
      <c r="O26" s="3" t="n">
        <v>0.00268275013011479</v>
      </c>
      <c r="P26" s="3" t="n">
        <v>0.239181430192998</v>
      </c>
      <c r="Q26" s="3" t="n">
        <v>2.442490654175344e-15</v>
      </c>
      <c r="R26" s="5" t="n">
        <v>0.00646544287149009</v>
      </c>
      <c r="S26" s="5" t="n">
        <v>0.0009319326286900687</v>
      </c>
      <c r="T26" s="5" t="n">
        <v>-0.009632492645428981</v>
      </c>
      <c r="U26" s="5" t="n">
        <v>-0.002009870932678015</v>
      </c>
      <c r="V26" s="5" t="n">
        <v>0.003866740626500054</v>
      </c>
      <c r="W26" s="5" t="n">
        <v>0.0001187392776900165</v>
      </c>
      <c r="X26" s="5" t="n">
        <v>0.006265567621319912</v>
      </c>
      <c r="Y26" s="5" t="n">
        <v>0</v>
      </c>
      <c r="Z26" s="5">
        <f>+SUM(R26:Y26)</f>
        <v/>
      </c>
      <c r="AA26" s="6">
        <f>+Z26-B26</f>
        <v/>
      </c>
    </row>
    <row r="27">
      <c r="A27" s="1" t="n">
        <v>44408</v>
      </c>
      <c r="B27" s="14" t="n">
        <v>0.01674557063</v>
      </c>
      <c r="C27" s="14">
        <f>+B27-($E$1/12)</f>
        <v/>
      </c>
      <c r="D27" s="18" t="n">
        <v>0.0091</v>
      </c>
      <c r="E27" s="18" t="n">
        <v>0.0112</v>
      </c>
      <c r="F27" s="18" t="n">
        <v>0.0244</v>
      </c>
      <c r="G27" s="18" t="n">
        <v>0.0101</v>
      </c>
      <c r="H27" s="18" t="n">
        <v>0.009900000000000001</v>
      </c>
      <c r="I27" s="18" t="n">
        <v>0.0097</v>
      </c>
      <c r="J27" s="3" t="n">
        <v>0.263029484346368</v>
      </c>
      <c r="K27" s="3" t="n">
        <v>0.0926697951956315</v>
      </c>
      <c r="L27" s="3" t="n">
        <v>0.0294472859800497</v>
      </c>
      <c r="M27" s="3" t="n">
        <v>0.0960359904183597</v>
      </c>
      <c r="N27" s="3" t="n">
        <v>0.243979690445226</v>
      </c>
      <c r="O27" s="3" t="n">
        <v>0.0520850605529529</v>
      </c>
      <c r="P27" s="3" t="n">
        <v>0.22275269306141</v>
      </c>
      <c r="Q27" s="3" t="n">
        <v>2.220446049250313e-15</v>
      </c>
      <c r="R27" s="5" t="n">
        <v>0.003120814712030073</v>
      </c>
      <c r="S27" s="5" t="n">
        <v>-0.005888337141014999</v>
      </c>
      <c r="T27" s="5" t="n">
        <v>0.001086301659209976</v>
      </c>
      <c r="U27" s="5" t="n">
        <v>0.0009774292908300009</v>
      </c>
      <c r="V27" s="5" t="n">
        <v>0.005655952186210067</v>
      </c>
      <c r="W27" s="5" t="n">
        <v>0.001901128833950105</v>
      </c>
      <c r="X27" s="5" t="n">
        <v>0.01058207811858991</v>
      </c>
      <c r="Y27" s="5" t="n">
        <v>0</v>
      </c>
      <c r="Z27" s="5">
        <f>+SUM(R27:Y27)</f>
        <v/>
      </c>
      <c r="AA27" s="6">
        <f>+Z27-B27</f>
        <v/>
      </c>
    </row>
    <row r="28">
      <c r="A28" s="1" t="n">
        <v>44439</v>
      </c>
      <c r="B28" s="14" t="n">
        <v>0.008583209640000001</v>
      </c>
      <c r="C28" s="14">
        <f>+B28-($E$1/12)</f>
        <v/>
      </c>
      <c r="D28" s="18" t="n">
        <v>0.0217</v>
      </c>
      <c r="E28" s="18" t="n">
        <v>-0.002</v>
      </c>
      <c r="F28" s="18" t="n">
        <v>0.0298</v>
      </c>
      <c r="G28" s="18" t="n">
        <v>0.009900000000000001</v>
      </c>
      <c r="H28" s="18" t="n">
        <v>0.0122</v>
      </c>
      <c r="I28" s="18" t="n">
        <v>0.0146</v>
      </c>
      <c r="J28" s="3" t="n">
        <v>0.196711865239849</v>
      </c>
      <c r="K28" s="3" t="n">
        <v>0.045505445775986</v>
      </c>
      <c r="L28" s="3" t="n">
        <v>0.0490070452972608</v>
      </c>
      <c r="M28" s="3" t="n">
        <v>0.07661069242261639</v>
      </c>
      <c r="N28" s="3" t="n">
        <v>0.230605895949568</v>
      </c>
      <c r="O28" s="3" t="n">
        <v>0.157365659647599</v>
      </c>
      <c r="P28" s="3" t="n">
        <v>0.244193395667118</v>
      </c>
      <c r="Q28" s="3" t="n">
        <v>2.886579864025407e-15</v>
      </c>
      <c r="R28" s="5" t="n">
        <v>-0.003937917966968962</v>
      </c>
      <c r="S28" s="5" t="n">
        <v>0.001000857769470009</v>
      </c>
      <c r="T28" s="5" t="n">
        <v>1.560313930060175e-06</v>
      </c>
      <c r="U28" s="5" t="n">
        <v>0.001214644436019929</v>
      </c>
      <c r="V28" s="5" t="n">
        <v>0.006920797585570071</v>
      </c>
      <c r="W28" s="5" t="n">
        <v>-0.001431647860474006</v>
      </c>
      <c r="X28" s="5" t="n">
        <v>0.004761721000930086</v>
      </c>
      <c r="Y28" s="5" t="n">
        <v>0</v>
      </c>
      <c r="Z28" s="5">
        <f>+SUM(R28:Y28)</f>
        <v/>
      </c>
      <c r="AA28" s="6">
        <f>+Z28-B28</f>
        <v/>
      </c>
    </row>
    <row r="29">
      <c r="A29" s="1" t="n">
        <v>44469</v>
      </c>
      <c r="B29" s="14" t="n">
        <v>-0.03551519259</v>
      </c>
      <c r="C29" s="14">
        <f>+B29-($E$1/12)</f>
        <v/>
      </c>
      <c r="D29" s="18" t="n">
        <v>-0.0423</v>
      </c>
      <c r="E29" s="18" t="n">
        <v>-0.0092</v>
      </c>
      <c r="F29" s="18" t="n">
        <v>-0.0466</v>
      </c>
      <c r="G29" s="18" t="n">
        <v>-0.0257</v>
      </c>
      <c r="H29" s="18" t="n">
        <v>-0.029</v>
      </c>
      <c r="I29" s="18" t="n">
        <v>-0.0323</v>
      </c>
      <c r="J29" s="3" t="n">
        <v>0.09987885118964809</v>
      </c>
      <c r="K29" s="3" t="n">
        <v>0.0374652969565121</v>
      </c>
      <c r="L29" s="3" t="n">
        <v>0.0446563495969068</v>
      </c>
      <c r="M29" s="3" t="n">
        <v>0.0904956303315595</v>
      </c>
      <c r="N29" s="3" t="n">
        <v>0.305197923976893</v>
      </c>
      <c r="O29" s="3" t="n">
        <v>0.142486721402662</v>
      </c>
      <c r="P29" s="3" t="n">
        <v>0.279819226545817</v>
      </c>
      <c r="Q29" s="3" t="n">
        <v>0</v>
      </c>
      <c r="R29" s="5" t="n">
        <v>0.004907966631130023</v>
      </c>
      <c r="S29" s="5" t="n">
        <v>-0.001344939469618001</v>
      </c>
      <c r="T29" s="5" t="n">
        <v>-0.001432910120716002</v>
      </c>
      <c r="U29" s="5" t="n">
        <v>-0.003111934790432036</v>
      </c>
      <c r="V29" s="5" t="n">
        <v>-0.01445946443201795</v>
      </c>
      <c r="W29" s="5" t="n">
        <v>-0.004181732380256986</v>
      </c>
      <c r="X29" s="5" t="n">
        <v>-0.01613667438987498</v>
      </c>
      <c r="Y29" s="5" t="n">
        <v>0</v>
      </c>
      <c r="Z29" s="5">
        <f>+SUM(R29:Y29)</f>
        <v/>
      </c>
      <c r="AA29" s="6">
        <f>+Z29-B29</f>
        <v/>
      </c>
    </row>
    <row r="30">
      <c r="A30" s="1" t="n">
        <v>44500</v>
      </c>
      <c r="B30" s="14" t="n">
        <v>0.04949101121</v>
      </c>
      <c r="C30" s="14">
        <f>+B30-($E$1/12)</f>
        <v/>
      </c>
      <c r="D30" s="18" t="n">
        <v>0.0539</v>
      </c>
      <c r="E30" s="18" t="n">
        <v>-0.0001</v>
      </c>
      <c r="F30" s="18" t="n">
        <v>0.0702</v>
      </c>
      <c r="G30" s="18" t="n">
        <v>0.0269</v>
      </c>
      <c r="H30" s="18" t="n">
        <v>0.0323</v>
      </c>
      <c r="I30" s="18" t="n">
        <v>0.0377</v>
      </c>
      <c r="J30" s="3" t="n">
        <v>0.170678979276171</v>
      </c>
      <c r="K30" s="3" t="n">
        <v>0.0500384408292456</v>
      </c>
      <c r="L30" s="3" t="n">
        <v>0.0586063316253123</v>
      </c>
      <c r="M30" s="3" t="n">
        <v>0.103718001603538</v>
      </c>
      <c r="N30" s="3" t="n">
        <v>0.252093716036351</v>
      </c>
      <c r="O30" s="3" t="n">
        <v>0.143291193091963</v>
      </c>
      <c r="P30" s="3" t="n">
        <v>0.221573337537417</v>
      </c>
      <c r="Q30" s="3" t="n">
        <v>1.998401444325282e-15</v>
      </c>
      <c r="R30" s="5" t="n">
        <v>0.009056548949309962</v>
      </c>
      <c r="S30" s="5" t="n">
        <v>0.000576534802740003</v>
      </c>
      <c r="T30" s="5" t="n">
        <v>0.0008394347458300366</v>
      </c>
      <c r="U30" s="5" t="n">
        <v>0.003205217642350044</v>
      </c>
      <c r="V30" s="5" t="n">
        <v>0.01789015282777995</v>
      </c>
      <c r="W30" s="5" t="n">
        <v>0.003381890200399917</v>
      </c>
      <c r="X30" s="5" t="n">
        <v>0.01652619639632991</v>
      </c>
      <c r="Y30" s="5" t="n">
        <v>0</v>
      </c>
      <c r="Z30" s="5">
        <f>+SUM(R30:Y30)</f>
        <v/>
      </c>
      <c r="AA30" s="6">
        <f>+Z30-B30</f>
        <v/>
      </c>
    </row>
    <row r="31">
      <c r="A31" s="1" t="n">
        <v>44530</v>
      </c>
      <c r="B31" s="14" t="n">
        <v>-0.02442550954</v>
      </c>
      <c r="C31" s="14">
        <f>+B31-($E$1/12)</f>
        <v/>
      </c>
      <c r="D31" s="18" t="n">
        <v>-0.0231</v>
      </c>
      <c r="E31" s="18" t="n">
        <v>0.0027</v>
      </c>
      <c r="F31" s="18" t="n">
        <v>-0.008</v>
      </c>
      <c r="G31" s="18" t="n">
        <v>-0.0102</v>
      </c>
      <c r="H31" s="18" t="n">
        <v>-0.0128</v>
      </c>
      <c r="I31" s="18" t="n">
        <v>-0.0153</v>
      </c>
      <c r="J31" s="3" t="n">
        <v>0.188775708917211</v>
      </c>
      <c r="K31" s="3" t="n">
        <v>0.0229114086729843</v>
      </c>
      <c r="L31" s="3" t="n">
        <v>0.0304623919341829</v>
      </c>
      <c r="M31" s="3" t="n">
        <v>0.103498721526527</v>
      </c>
      <c r="N31" s="3" t="n">
        <v>0.250151508648186</v>
      </c>
      <c r="O31" s="3" t="n">
        <v>0.140353042690658</v>
      </c>
      <c r="P31" s="3" t="n">
        <v>0.263847217610249</v>
      </c>
      <c r="Q31" s="3" t="n">
        <v>1.77635683940025e-15</v>
      </c>
      <c r="R31" s="5" t="n">
        <v>-0.01648589330837302</v>
      </c>
      <c r="S31" s="5" t="n">
        <v>-0.0007205125969199644</v>
      </c>
      <c r="T31" s="5" t="n">
        <v>-7.749417239100165e-05</v>
      </c>
      <c r="U31" s="5" t="n">
        <v>-0.004623036697888994</v>
      </c>
      <c r="V31" s="5" t="n">
        <v>-0.002012473750920951</v>
      </c>
      <c r="W31" s="5" t="n">
        <v>0.003921506216459925</v>
      </c>
      <c r="X31" s="5" t="n">
        <v>-0.006441703371412033</v>
      </c>
      <c r="Y31" s="5" t="n">
        <v>0</v>
      </c>
      <c r="Z31" s="5">
        <f>+SUM(R31:Y31)</f>
        <v/>
      </c>
      <c r="AA31" s="6">
        <f>+Z31-B31</f>
        <v/>
      </c>
    </row>
    <row r="32">
      <c r="A32" s="1" t="n">
        <v>44561</v>
      </c>
      <c r="B32" s="14" t="n">
        <v>0.03672058659</v>
      </c>
      <c r="C32" s="14">
        <f>+B32-($E$1/12)</f>
        <v/>
      </c>
      <c r="D32" s="18" t="n">
        <v>0.039</v>
      </c>
      <c r="E32" s="18" t="n">
        <v>-0.0036</v>
      </c>
      <c r="F32" s="18" t="n">
        <v>0.0463</v>
      </c>
      <c r="G32" s="18" t="n">
        <v>0.0177</v>
      </c>
      <c r="H32" s="18" t="n">
        <v>0.022</v>
      </c>
      <c r="I32" s="18" t="n">
        <v>0.0262</v>
      </c>
      <c r="J32" s="3" t="n">
        <v>0.116638440769094</v>
      </c>
      <c r="K32" s="3" t="n">
        <v>0.00985522338370729</v>
      </c>
      <c r="L32" s="3" t="n">
        <v>0.101177127309972</v>
      </c>
      <c r="M32" s="3" t="n">
        <v>0.0648731481746891</v>
      </c>
      <c r="N32" s="3" t="n">
        <v>0.302071514952644</v>
      </c>
      <c r="O32" s="3" t="n">
        <v>0.216601448869418</v>
      </c>
      <c r="P32" s="3" t="n">
        <v>0.188783096540474</v>
      </c>
      <c r="Q32" s="3" t="n">
        <v>0</v>
      </c>
      <c r="R32" s="5" t="n">
        <v>0.007226648724139917</v>
      </c>
      <c r="S32" s="5" t="n">
        <v>0.0001961519664999134</v>
      </c>
      <c r="T32" s="5" t="n">
        <v>0.002949486194989914</v>
      </c>
      <c r="U32" s="5" t="n">
        <v>0.002627672871829967</v>
      </c>
      <c r="V32" s="5" t="n">
        <v>0.01448919558884998</v>
      </c>
      <c r="W32" s="5" t="n">
        <v>-0.004626422031282051</v>
      </c>
      <c r="X32" s="5" t="n">
        <v>0.01671741552045991</v>
      </c>
      <c r="Y32" s="5" t="n">
        <v>0</v>
      </c>
      <c r="Z32" s="5">
        <f>+SUM(R32:Y32)</f>
        <v/>
      </c>
      <c r="AA32" s="6">
        <f>+Z32-B32</f>
        <v/>
      </c>
    </row>
    <row r="33">
      <c r="A33" s="1" t="n">
        <v>44592</v>
      </c>
      <c r="B33" s="14" t="n">
        <v>-0.03411618998</v>
      </c>
      <c r="C33" s="14">
        <f>+B33-($E$1/12)</f>
        <v/>
      </c>
      <c r="D33" s="18" t="n">
        <v>-0.0455</v>
      </c>
      <c r="E33" s="18" t="n">
        <v>-0.02</v>
      </c>
      <c r="F33" s="18" t="n">
        <v>-0.0527</v>
      </c>
      <c r="G33" s="18" t="n">
        <v>-0.0327</v>
      </c>
      <c r="H33" s="18" t="n">
        <v>-0.0353</v>
      </c>
      <c r="I33" s="18" t="n">
        <v>-0.0378</v>
      </c>
      <c r="J33" s="3" t="n">
        <v>0.122773902795063</v>
      </c>
      <c r="K33" s="3" t="n">
        <v>0.007876926372748399</v>
      </c>
      <c r="L33" s="3" t="n">
        <v>0.200694640207594</v>
      </c>
      <c r="M33" s="3" t="n">
        <v>0.0827891572934802</v>
      </c>
      <c r="N33" s="3" t="n">
        <v>0.250609738689665</v>
      </c>
      <c r="O33" s="3" t="n">
        <v>0.132058616336651</v>
      </c>
      <c r="P33" s="3" t="n">
        <v>0.203197018304796</v>
      </c>
      <c r="Q33" s="3" t="n">
        <v>2.442490654175344e-15</v>
      </c>
      <c r="R33" s="5" t="n">
        <v>0.00985905354360006</v>
      </c>
      <c r="S33" s="5" t="n">
        <v>1.168579398003189e-05</v>
      </c>
      <c r="T33" s="5" t="n">
        <v>-0.001936310571672983</v>
      </c>
      <c r="U33" s="5" t="n">
        <v>-0.003165054157740044</v>
      </c>
      <c r="V33" s="5" t="n">
        <v>-0.01278822224898701</v>
      </c>
      <c r="W33" s="5" t="n">
        <v>-0.006999226350659971</v>
      </c>
      <c r="X33" s="5" t="n">
        <v>-0.01677121655383995</v>
      </c>
      <c r="Y33" s="5" t="n">
        <v>0</v>
      </c>
      <c r="Z33" s="5">
        <f>+SUM(R33:Y33)</f>
        <v/>
      </c>
      <c r="AA33" s="6">
        <f>+Z33-B33</f>
        <v/>
      </c>
    </row>
    <row r="34">
      <c r="A34" s="1" t="n">
        <v>44620</v>
      </c>
      <c r="B34" s="14" t="n">
        <v>0.01863908534</v>
      </c>
      <c r="C34" s="14">
        <f>+B34-($E$1/12)</f>
        <v/>
      </c>
      <c r="D34" s="18" t="n">
        <v>-0.0306</v>
      </c>
      <c r="E34" s="18" t="n">
        <v>-0.0115</v>
      </c>
      <c r="F34" s="18" t="n">
        <v>-0.0295</v>
      </c>
      <c r="G34" s="18" t="n">
        <v>-0.021</v>
      </c>
      <c r="H34" s="18" t="n">
        <v>-0.0229</v>
      </c>
      <c r="I34" s="18" t="n">
        <v>-0.0249</v>
      </c>
      <c r="J34" s="3" t="n">
        <v>0.19625752129123</v>
      </c>
      <c r="K34" s="3" t="n">
        <v>0.0201471881819568</v>
      </c>
      <c r="L34" s="3" t="n">
        <v>0.294104050818247</v>
      </c>
      <c r="M34" s="3" t="n">
        <v>0.0569460776314919</v>
      </c>
      <c r="N34" s="3" t="n">
        <v>0.181678585760172</v>
      </c>
      <c r="O34" s="3" t="n">
        <v>0.100934506505194</v>
      </c>
      <c r="P34" s="3" t="n">
        <v>0.149932069811706</v>
      </c>
      <c r="Q34" s="3" t="n">
        <v>2.331468351712829e-15</v>
      </c>
      <c r="R34" s="5" t="n">
        <v>0.01241239042406006</v>
      </c>
      <c r="S34" s="5" t="n">
        <v>-0.000931807367477</v>
      </c>
      <c r="T34" s="5" t="n">
        <v>0.01800479119059006</v>
      </c>
      <c r="U34" s="5" t="n">
        <v>-0.001674514151534967</v>
      </c>
      <c r="V34" s="5" t="n">
        <v>-0.004862584825229055</v>
      </c>
      <c r="W34" s="5" t="n">
        <v>-0.001763203532023971</v>
      </c>
      <c r="X34" s="5" t="n">
        <v>-0.007081054755170957</v>
      </c>
      <c r="Y34" s="5" t="n">
        <v>0</v>
      </c>
      <c r="Z34" s="6">
        <f>+SUM(R34:Y34)</f>
        <v/>
      </c>
      <c r="AA34" s="6">
        <f>+Z34-B34</f>
        <v/>
      </c>
    </row>
    <row r="35">
      <c r="A35" s="1" t="n">
        <v>44651</v>
      </c>
      <c r="B35" s="14" t="n">
        <v>0.02506007712</v>
      </c>
      <c r="C35" s="14">
        <f>+B35-($E$1/12)</f>
        <v/>
      </c>
      <c r="D35" s="18" t="n">
        <v>0.0194</v>
      </c>
      <c r="E35" s="18" t="n">
        <v>-0.0281</v>
      </c>
      <c r="F35" s="18" t="n">
        <v>0.0376</v>
      </c>
      <c r="G35" s="18" t="n">
        <v>-0.0044</v>
      </c>
      <c r="H35" s="18" t="n">
        <v>0.0004</v>
      </c>
      <c r="I35" s="18" t="n">
        <v>0.0051</v>
      </c>
      <c r="J35" s="3" t="n">
        <v>0.253158819060936</v>
      </c>
      <c r="K35" s="3" t="n">
        <v>0.0256693904587569</v>
      </c>
      <c r="L35" s="3" t="n">
        <v>0.387337236481273</v>
      </c>
      <c r="M35" s="3" t="n">
        <v>0.0401276561114918</v>
      </c>
      <c r="N35" s="3" t="n">
        <v>0.0916668975923883</v>
      </c>
      <c r="O35" s="3" t="n">
        <v>0.133617364950836</v>
      </c>
      <c r="P35" s="3" t="n">
        <v>0.0684226353443155</v>
      </c>
      <c r="Q35" s="3" t="n">
        <v>2.55351295663786e-15</v>
      </c>
      <c r="R35" s="5" t="n">
        <v>0.02122434384592009</v>
      </c>
      <c r="S35" s="5" t="n">
        <v>-0.0007348292541129453</v>
      </c>
      <c r="T35" s="5" t="n">
        <v>0.003352483656670069</v>
      </c>
      <c r="U35" s="5" t="n">
        <v>-5.538470096899673e-05</v>
      </c>
      <c r="V35" s="5" t="n">
        <v>0.002327540448660015</v>
      </c>
      <c r="W35" s="5" t="n">
        <v>-0.007425372541438047</v>
      </c>
      <c r="X35" s="5" t="n">
        <v>0.004533772573120043</v>
      </c>
      <c r="Y35" s="5" t="n">
        <v>0</v>
      </c>
      <c r="Z35" s="5">
        <f>+SUM(R35:Y35)</f>
        <v/>
      </c>
      <c r="AA35" s="6">
        <f>+Z35-B35</f>
        <v/>
      </c>
    </row>
    <row r="36">
      <c r="A36" s="1" t="n">
        <v>44681</v>
      </c>
      <c r="B36" s="14" t="n">
        <v>-0.03636461638</v>
      </c>
      <c r="C36" s="14">
        <f>+B36-($E$1/12)</f>
        <v/>
      </c>
      <c r="D36" s="18" t="n">
        <v>-0.08069999999999999</v>
      </c>
      <c r="E36" s="18" t="n">
        <v>-0.0381</v>
      </c>
      <c r="F36" s="18" t="n">
        <v>-0.0878</v>
      </c>
      <c r="G36" s="18" t="n">
        <v>-0.0594</v>
      </c>
      <c r="H36" s="18" t="n">
        <v>-0.0636</v>
      </c>
      <c r="I36" s="18" t="n">
        <v>-0.0679</v>
      </c>
      <c r="J36" s="3" t="n">
        <v>0.122842605180162</v>
      </c>
      <c r="K36" s="3" t="n">
        <v>0.008535892706788549</v>
      </c>
      <c r="L36" s="3" t="n">
        <v>0.371474202655468</v>
      </c>
      <c r="M36" s="3" t="n">
        <v>0.08594742139927571</v>
      </c>
      <c r="N36" s="3" t="n">
        <v>0.159528162651983</v>
      </c>
      <c r="O36" s="3" t="n">
        <v>0.0506946579067905</v>
      </c>
      <c r="P36" s="3" t="n">
        <v>0.20097705749953</v>
      </c>
      <c r="Q36" s="3" t="n">
        <v>2.220446049250313e-15</v>
      </c>
      <c r="R36" s="5" t="n">
        <v>0.007909516813610074</v>
      </c>
      <c r="S36" s="5" t="n">
        <v>-0.0002374464609039562</v>
      </c>
      <c r="T36" s="5" t="n">
        <v>-0.007838124280310055</v>
      </c>
      <c r="U36" s="5" t="n">
        <v>-0.006160028227573</v>
      </c>
      <c r="V36" s="5" t="n">
        <v>-0.014132845628957</v>
      </c>
      <c r="W36" s="5" t="n">
        <v>-0.004475316034111998</v>
      </c>
      <c r="X36" s="5" t="n">
        <v>-0.01046835050418204</v>
      </c>
      <c r="Y36" s="5" t="n">
        <v>0</v>
      </c>
      <c r="Z36" s="5">
        <f>+SUM(R36:Y36)</f>
        <v/>
      </c>
      <c r="AA36" s="6">
        <f>+Z36-B36</f>
        <v/>
      </c>
    </row>
    <row r="37">
      <c r="A37" s="1" t="n">
        <v>44712</v>
      </c>
      <c r="B37" s="14" t="n">
        <v>-0.01441409102</v>
      </c>
      <c r="C37" s="14">
        <f>+B37-($E$1/12)</f>
        <v/>
      </c>
      <c r="D37" s="18" t="n">
        <v>0.0045</v>
      </c>
      <c r="E37" s="18" t="n">
        <v>0.0076</v>
      </c>
      <c r="F37" s="18" t="n">
        <v>0.0023</v>
      </c>
      <c r="G37" s="18" t="n">
        <v>0.006</v>
      </c>
      <c r="H37" s="18" t="n">
        <v>0.0057</v>
      </c>
      <c r="I37" s="18" t="n">
        <v>0.0054</v>
      </c>
      <c r="J37" s="3" t="n">
        <v>0.117960669154869</v>
      </c>
      <c r="K37" s="3" t="n">
        <v>0.0144636920591274</v>
      </c>
      <c r="L37" s="3" t="n">
        <v>0.430035805171293</v>
      </c>
      <c r="M37" s="3" t="n">
        <v>0.0928909574568355</v>
      </c>
      <c r="N37" s="3" t="n">
        <v>0.114659604831228</v>
      </c>
      <c r="O37" s="3" t="n">
        <v>0.0234665165726615</v>
      </c>
      <c r="P37" s="3" t="n">
        <v>0.206522754753983</v>
      </c>
      <c r="Q37" s="3" t="n">
        <v>2.664535259100376e-15</v>
      </c>
      <c r="R37" s="5" t="n">
        <v>0.005844509410029897</v>
      </c>
      <c r="S37" s="5" t="n">
        <v>0.0001281123322700584</v>
      </c>
      <c r="T37" s="5" t="n">
        <v>-0.01321368715999705</v>
      </c>
      <c r="U37" s="5" t="n">
        <v>0.002108103123880101</v>
      </c>
      <c r="V37" s="5" t="n">
        <v>0.0005504506132298914</v>
      </c>
      <c r="W37" s="5" t="n">
        <v>-0.0009151316169729862</v>
      </c>
      <c r="X37" s="5" t="n">
        <v>-0.008852617825441</v>
      </c>
      <c r="Y37" s="5" t="n">
        <v>0</v>
      </c>
      <c r="Z37" s="5">
        <f>+SUM(R37:Y37)</f>
        <v/>
      </c>
      <c r="AA37" s="6">
        <f>+Z37-B37</f>
        <v/>
      </c>
    </row>
    <row r="38">
      <c r="A38" s="1" t="n">
        <v>44742</v>
      </c>
      <c r="B38" s="14" t="n">
        <v>-0.04934453379</v>
      </c>
      <c r="C38" s="14">
        <f>+B38-($E$1/12)</f>
        <v/>
      </c>
      <c r="D38" s="18" t="n">
        <v>-0.0809</v>
      </c>
      <c r="E38" s="18" t="n">
        <v>-0.0155</v>
      </c>
      <c r="F38" s="18" t="n">
        <v>-0.0825</v>
      </c>
      <c r="G38" s="18" t="n">
        <v>-0.0482</v>
      </c>
      <c r="H38" s="18" t="n">
        <v>-0.0547</v>
      </c>
      <c r="I38" s="18" t="n">
        <v>-0.0613</v>
      </c>
      <c r="J38" s="3" t="n">
        <v>0.126942350724113</v>
      </c>
      <c r="K38" s="3" t="n">
        <v>0.028134832824093</v>
      </c>
      <c r="L38" s="3" t="n">
        <v>0.435843134624911</v>
      </c>
      <c r="M38" s="3" t="n">
        <v>0.0933055090729451</v>
      </c>
      <c r="N38" s="3" t="n">
        <v>0.134205023385725</v>
      </c>
      <c r="O38" s="3" t="n">
        <v>0.0121835060028005</v>
      </c>
      <c r="P38" s="3" t="n">
        <v>0.16938564336541</v>
      </c>
      <c r="Q38" s="3" t="n">
        <v>2.442490654175344e-15</v>
      </c>
      <c r="R38" s="5" t="n">
        <v>-0.01014372210992398</v>
      </c>
      <c r="S38" s="5" t="n">
        <v>-0.001344314994848994</v>
      </c>
      <c r="T38" s="5" t="n">
        <v>-0.007124405091090025</v>
      </c>
      <c r="U38" s="5" t="n">
        <v>-0.008215269614258003</v>
      </c>
      <c r="V38" s="5" t="n">
        <v>-0.01084484812618203</v>
      </c>
      <c r="W38" s="5" t="n">
        <v>-0.0001500227014630262</v>
      </c>
      <c r="X38" s="5" t="n">
        <v>-0.011693659078165</v>
      </c>
      <c r="Y38" s="5" t="n">
        <v>0</v>
      </c>
      <c r="Z38" s="5">
        <f>+SUM(R38:Y38)</f>
        <v/>
      </c>
      <c r="AA38" s="6">
        <f>+Z38-B38</f>
        <v/>
      </c>
    </row>
    <row r="39">
      <c r="A39" s="1" t="n">
        <v>44773</v>
      </c>
      <c r="B39" s="14" t="n">
        <v>0.0001035752</v>
      </c>
      <c r="C39" s="14">
        <f>+B39-($E$1/12)</f>
        <v/>
      </c>
      <c r="D39" s="18" t="n">
        <v>0.0707</v>
      </c>
      <c r="E39" s="18" t="n">
        <v>0.0254</v>
      </c>
      <c r="F39" s="18" t="n">
        <v>0.0921</v>
      </c>
      <c r="G39" s="18" t="n">
        <v>0.048</v>
      </c>
      <c r="H39" s="18" t="n">
        <v>0.0526</v>
      </c>
      <c r="I39" s="18" t="n">
        <v>0.0571</v>
      </c>
      <c r="J39" s="3" t="n">
        <v>0.193024200557051</v>
      </c>
      <c r="K39" s="3" t="n">
        <v>0.0528384602453756</v>
      </c>
      <c r="L39" s="3" t="n">
        <v>0.537364944098259</v>
      </c>
      <c r="M39" s="3" t="n">
        <v>0.0341519111503648</v>
      </c>
      <c r="N39" s="3" t="n">
        <v>0.0532704182719666</v>
      </c>
      <c r="O39" s="3" t="n">
        <v>0.0389727797209617</v>
      </c>
      <c r="P39" s="3" t="n">
        <v>0.0903772859560205</v>
      </c>
      <c r="Q39" s="3" t="n">
        <v>0</v>
      </c>
      <c r="R39" s="5" t="n">
        <v>-0.003955291452164</v>
      </c>
      <c r="S39" s="5" t="n">
        <v>2.749138065993861e-05</v>
      </c>
      <c r="T39" s="5" t="n">
        <v>-0.01403520276895298</v>
      </c>
      <c r="U39" s="5" t="n">
        <v>0.001990964132319917</v>
      </c>
      <c r="V39" s="5" t="n">
        <v>0.005839810591439898</v>
      </c>
      <c r="W39" s="5" t="n">
        <v>0.0006802312723299675</v>
      </c>
      <c r="X39" s="5" t="n">
        <v>0.009578570443639967</v>
      </c>
      <c r="Y39" s="5" t="n">
        <v>0</v>
      </c>
      <c r="Z39" s="5">
        <f>+SUM(R39:Y39)</f>
        <v/>
      </c>
      <c r="AA39" s="6">
        <f>+Z39-B39</f>
        <v/>
      </c>
    </row>
    <row r="40">
      <c r="A40" s="1" t="n">
        <v>44804</v>
      </c>
      <c r="B40" s="14" t="n">
        <v>-0.03888439546</v>
      </c>
      <c r="C40" s="14">
        <f>+B40-($E$1/12)</f>
        <v/>
      </c>
      <c r="D40" s="18" t="n">
        <v>-0.0436</v>
      </c>
      <c r="E40" s="18" t="n">
        <v>-0.0304</v>
      </c>
      <c r="F40" s="18" t="n">
        <v>-0.0408</v>
      </c>
      <c r="G40" s="18" t="n">
        <v>-0.037</v>
      </c>
      <c r="H40" s="18" t="n">
        <v>-0.0384</v>
      </c>
      <c r="I40" s="18" t="n">
        <v>-0.0397</v>
      </c>
      <c r="J40" s="3" t="n">
        <v>0.16905505751096</v>
      </c>
      <c r="K40" s="3" t="n">
        <v>0.0219915864570702</v>
      </c>
      <c r="L40" s="3" t="n">
        <v>0.354493322460911</v>
      </c>
      <c r="M40" s="3" t="n">
        <v>0.06563450329825</v>
      </c>
      <c r="N40" s="3" t="n">
        <v>0.122491360815284</v>
      </c>
      <c r="O40" s="3" t="n">
        <v>0.0943463565242036</v>
      </c>
      <c r="P40" s="3" t="n">
        <v>0.171987812933319</v>
      </c>
      <c r="Q40" s="3" t="n">
        <v>2.109423746787797e-15</v>
      </c>
      <c r="R40" s="5" t="n">
        <v>-0.003474637828659977</v>
      </c>
      <c r="S40" s="5" t="n">
        <v>-0.0006549965143000103</v>
      </c>
      <c r="T40" s="5" t="n">
        <v>-0.009723465750271054</v>
      </c>
      <c r="U40" s="5" t="n">
        <v>-0.004121452680841964</v>
      </c>
      <c r="V40" s="5" t="n">
        <v>-0.004850665431559986</v>
      </c>
      <c r="W40" s="5" t="n">
        <v>-0.00531388268309696</v>
      </c>
      <c r="X40" s="5" t="n">
        <v>-0.009915603617997037</v>
      </c>
      <c r="Y40" s="5" t="n">
        <v>0</v>
      </c>
      <c r="Z40" s="5">
        <f>+SUM(R40:Y40)</f>
        <v/>
      </c>
      <c r="AA40" s="6">
        <f>+Z40-B40</f>
        <v/>
      </c>
    </row>
    <row r="41">
      <c r="A41" s="1" t="n">
        <v>44834</v>
      </c>
      <c r="B41" s="14" t="n">
        <v>-0.07468736108</v>
      </c>
      <c r="C41" s="14">
        <f>+B41-($E$1/12)</f>
        <v/>
      </c>
      <c r="D41" s="18" t="n">
        <v>-0.0939</v>
      </c>
      <c r="E41" s="18" t="n">
        <v>-0.0414</v>
      </c>
      <c r="F41" s="18" t="n">
        <v>-0.0924</v>
      </c>
      <c r="G41" s="18" t="n">
        <v>-0.0677</v>
      </c>
      <c r="H41" s="18" t="n">
        <v>-0.07290000000000001</v>
      </c>
      <c r="I41" s="18" t="n">
        <v>-0.07820000000000001</v>
      </c>
      <c r="J41" s="3" t="n">
        <v>0.162506495646965</v>
      </c>
      <c r="K41" s="3" t="n">
        <v>0.101326531920105</v>
      </c>
      <c r="L41" s="3" t="n">
        <v>0.314004404590579</v>
      </c>
      <c r="M41" s="3" t="n">
        <v>0.0465715067130286</v>
      </c>
      <c r="N41" s="3" t="n">
        <v>0.16218036680468</v>
      </c>
      <c r="O41" s="3" t="n">
        <v>0.0835001040800095</v>
      </c>
      <c r="P41" s="3" t="n">
        <v>0.129910590244631</v>
      </c>
      <c r="Q41" s="3" t="n">
        <v>1.998401444325282e-15</v>
      </c>
      <c r="R41" s="5" t="n">
        <v>-0.01214077786961798</v>
      </c>
      <c r="S41" s="5" t="n">
        <v>-0.011374881347189</v>
      </c>
      <c r="T41" s="5" t="n">
        <v>-0.009275054408730998</v>
      </c>
      <c r="U41" s="5" t="n">
        <v>-0.004666404261759016</v>
      </c>
      <c r="V41" s="5" t="n">
        <v>-0.01528849698293</v>
      </c>
      <c r="W41" s="5" t="n">
        <v>-0.00726303651126603</v>
      </c>
      <c r="X41" s="5" t="n">
        <v>-0.01670093729003197</v>
      </c>
      <c r="Y41" s="5" t="n">
        <v>0</v>
      </c>
      <c r="Z41" s="5">
        <f>+SUM(R41:Y41)</f>
        <v/>
      </c>
      <c r="AA41" s="6">
        <f>+Z41-B41</f>
        <v/>
      </c>
    </row>
    <row r="42">
      <c r="A42" s="1" t="n">
        <v>44865</v>
      </c>
      <c r="B42" s="14" t="n">
        <v>0.01596369729</v>
      </c>
      <c r="C42" s="14">
        <f>+B42-($E$1/12)</f>
        <v/>
      </c>
      <c r="D42" s="18" t="n">
        <v>0.0635</v>
      </c>
      <c r="E42" s="18" t="n">
        <v>-0.0128</v>
      </c>
      <c r="F42" s="18" t="n">
        <v>0.0813</v>
      </c>
      <c r="G42" s="18" t="n">
        <v>0.0253</v>
      </c>
      <c r="H42" s="18" t="n">
        <v>0.033</v>
      </c>
      <c r="I42" s="18" t="n">
        <v>0.0406</v>
      </c>
      <c r="J42" s="3" t="n">
        <v>0.173769312988131</v>
      </c>
      <c r="K42" s="3" t="n">
        <v>0.0320295878243076</v>
      </c>
      <c r="L42" s="3" t="n">
        <v>0.391583496018617</v>
      </c>
      <c r="M42" s="3" t="n">
        <v>0.0390349644855831</v>
      </c>
      <c r="N42" s="3" t="n">
        <v>0.177464671898831</v>
      </c>
      <c r="O42" s="3" t="n">
        <v>0.101336851511952</v>
      </c>
      <c r="P42" s="3" t="n">
        <v>0.0847811152725758</v>
      </c>
      <c r="Q42" s="3" t="n">
        <v>2.442490654175344e-15</v>
      </c>
      <c r="R42" s="5" t="n">
        <v>0.008366865292489978</v>
      </c>
      <c r="S42" s="5" t="n">
        <v>0.0004622684716699688</v>
      </c>
      <c r="T42" s="5" t="n">
        <v>-0.008015694756606018</v>
      </c>
      <c r="U42" s="5" t="n">
        <v>0.002493553868200049</v>
      </c>
      <c r="V42" s="5" t="n">
        <v>0.01404578877871998</v>
      </c>
      <c r="W42" s="5" t="n">
        <v>-0.006250877901549989</v>
      </c>
      <c r="X42" s="5" t="n">
        <v>0.00354513278718005</v>
      </c>
      <c r="Y42" s="5" t="n">
        <v>0</v>
      </c>
      <c r="Z42" s="5">
        <f>+SUM(R42:Y42)</f>
        <v/>
      </c>
      <c r="AA42" s="6">
        <f>+Z42-B42</f>
        <v/>
      </c>
    </row>
    <row r="43">
      <c r="A43" s="1" t="n">
        <v>44895</v>
      </c>
      <c r="B43" s="14" t="n">
        <v>0.05554186287</v>
      </c>
      <c r="C43" s="14">
        <f>+B43-($E$1/12)</f>
        <v/>
      </c>
      <c r="D43" s="18" t="n">
        <v>0.0834</v>
      </c>
      <c r="E43" s="18" t="n">
        <v>0.0381</v>
      </c>
      <c r="F43" s="18" t="n">
        <v>0.0556</v>
      </c>
      <c r="G43" s="18" t="n">
        <v>0.0607</v>
      </c>
      <c r="H43" s="18" t="n">
        <v>0.0653</v>
      </c>
      <c r="I43" s="18" t="n">
        <v>0.0698</v>
      </c>
      <c r="J43" s="3" t="n">
        <v>0.306828317855154</v>
      </c>
      <c r="K43" s="3" t="n">
        <v>0.0319815414521566</v>
      </c>
      <c r="L43" s="3" t="n">
        <v>0.29664184044881</v>
      </c>
      <c r="M43" s="3" t="n">
        <v>0.0882349766572037</v>
      </c>
      <c r="N43" s="3" t="n">
        <v>0.180206411185203</v>
      </c>
      <c r="O43" s="3" t="n">
        <v>0.00804958731958305</v>
      </c>
      <c r="P43" s="3" t="n">
        <v>0.08805732508188879</v>
      </c>
      <c r="Q43" s="3" t="n">
        <v>0</v>
      </c>
      <c r="R43" s="5" t="n">
        <v>0.003030305004299905</v>
      </c>
      <c r="S43" s="5" t="n">
        <v>0.004855480906309939</v>
      </c>
      <c r="T43" s="5" t="n">
        <v>0.02593421795084994</v>
      </c>
      <c r="U43" s="5" t="n">
        <v>0.01107887454326995</v>
      </c>
      <c r="V43" s="5" t="n">
        <v>0.009829641455270099</v>
      </c>
      <c r="W43" s="5" t="n">
        <v>0.001360242079440077</v>
      </c>
      <c r="X43" s="5" t="n">
        <v>0.005454176667629929</v>
      </c>
      <c r="Y43" s="5" t="n">
        <v>0</v>
      </c>
      <c r="Z43" s="5">
        <f>+SUM(R43:Y43)</f>
        <v/>
      </c>
      <c r="AA43" s="6">
        <f>+Z43-B43</f>
        <v/>
      </c>
    </row>
    <row r="44">
      <c r="A44" s="1" t="n">
        <v>44926</v>
      </c>
      <c r="B44" s="14" t="n">
        <v>-0.01751234788</v>
      </c>
      <c r="C44" s="14">
        <f>+B44-($E$1/12)</f>
        <v/>
      </c>
      <c r="D44" s="18" t="n">
        <v>-0.0462</v>
      </c>
      <c r="E44" s="18" t="n">
        <v>-0.008699999999999999</v>
      </c>
      <c r="F44" s="18" t="n">
        <v>-0.0576</v>
      </c>
      <c r="G44" s="18" t="n">
        <v>-0.0274</v>
      </c>
      <c r="H44" s="18" t="n">
        <v>-0.0312</v>
      </c>
      <c r="I44" s="18" t="n">
        <v>-0.0349</v>
      </c>
      <c r="J44" s="3" t="n">
        <v>0.199171759442583</v>
      </c>
      <c r="K44" s="3" t="n">
        <v>0.109511686143464</v>
      </c>
      <c r="L44" s="3" t="n">
        <v>0.304324742854744</v>
      </c>
      <c r="M44" s="3" t="n">
        <v>0.171182431251972</v>
      </c>
      <c r="N44" s="3" t="n">
        <v>0.159166707956167</v>
      </c>
      <c r="O44" s="3" t="n">
        <v>0.00442758078919851</v>
      </c>
      <c r="P44" s="3" t="n">
        <v>0.0522150915618685</v>
      </c>
      <c r="Q44" s="3" t="n">
        <v>2.997602166487923e-15</v>
      </c>
      <c r="R44" s="5" t="n">
        <v>-0.005828033242903041</v>
      </c>
      <c r="S44" s="5" t="n">
        <v>-0.002628425601368001</v>
      </c>
      <c r="T44" s="5" t="n">
        <v>0.009152250588559951</v>
      </c>
      <c r="U44" s="5" t="n">
        <v>-0.003769408336834035</v>
      </c>
      <c r="V44" s="5" t="n">
        <v>-0.009218473587512044</v>
      </c>
      <c r="W44" s="5" t="n">
        <v>1.569876679985427e-06</v>
      </c>
      <c r="X44" s="5" t="n">
        <v>-0.002528677642159027</v>
      </c>
      <c r="Y44" s="5" t="n">
        <v>0</v>
      </c>
      <c r="Z44" s="5">
        <f>+SUM(R44:Y44)</f>
        <v/>
      </c>
      <c r="AA44" s="6">
        <f>+Z44-B44</f>
        <v/>
      </c>
    </row>
    <row r="45">
      <c r="A45" s="1" t="n">
        <v>44957</v>
      </c>
      <c r="B45" s="14" t="n">
        <v>0.05705837761</v>
      </c>
      <c r="C45" s="14">
        <f>+B45-($E$1/12)</f>
        <v/>
      </c>
      <c r="D45" s="18" t="n">
        <v>0.075</v>
      </c>
      <c r="E45" s="18" t="n">
        <v>0.0333</v>
      </c>
      <c r="F45" s="18" t="n">
        <v>0.0629</v>
      </c>
      <c r="G45" s="18" t="n">
        <v>0.0542</v>
      </c>
      <c r="H45" s="18" t="n">
        <v>0.0583</v>
      </c>
      <c r="I45" s="18" t="n">
        <v>0.0625</v>
      </c>
      <c r="J45" s="3" t="n">
        <v>0.178676602818793</v>
      </c>
      <c r="K45" s="3" t="n">
        <v>0.10428196363274</v>
      </c>
      <c r="L45" s="3" t="n">
        <v>0.391012773210132</v>
      </c>
      <c r="M45" s="3" t="n">
        <v>0.170767582531487</v>
      </c>
      <c r="N45" s="3" t="n">
        <v>0.09059568905744569</v>
      </c>
      <c r="O45" s="3" t="n">
        <v>0.0227518178617684</v>
      </c>
      <c r="P45" s="3" t="n">
        <v>0.0419135708876318</v>
      </c>
      <c r="Q45" s="3" t="n">
        <v>1.998401444325282e-15</v>
      </c>
      <c r="R45" s="5" t="n">
        <v>0.001022798308810025</v>
      </c>
      <c r="S45" s="5" t="n">
        <v>0.009443642230319904</v>
      </c>
      <c r="T45" s="5" t="n">
        <v>0.02150839229935997</v>
      </c>
      <c r="U45" s="5" t="n">
        <v>0.01505284870266999</v>
      </c>
      <c r="V45" s="5" t="n">
        <v>0.005303477339390072</v>
      </c>
      <c r="W45" s="5" t="n">
        <v>0.001349114456669964</v>
      </c>
      <c r="X45" s="5" t="n">
        <v>0.004090495212790035</v>
      </c>
      <c r="Y45" s="5" t="n">
        <v>0</v>
      </c>
      <c r="Z45" s="5">
        <f>+SUM(R45:Y45)</f>
        <v/>
      </c>
      <c r="AA45" s="6">
        <f>+Z45-B45</f>
        <v/>
      </c>
    </row>
    <row r="46">
      <c r="A46" s="1" t="n">
        <v>44985</v>
      </c>
      <c r="B46" s="14" t="n">
        <v>-0.04825326341</v>
      </c>
      <c r="C46" s="14">
        <f>+B46-($E$1/12)</f>
        <v/>
      </c>
      <c r="D46" s="18" t="n">
        <v>-0.0332</v>
      </c>
      <c r="E46" s="18" t="n">
        <v>-0.0267</v>
      </c>
      <c r="F46" s="18" t="n">
        <v>-0.0251</v>
      </c>
      <c r="G46" s="18" t="n">
        <v>-0.0299</v>
      </c>
      <c r="H46" s="18" t="n">
        <v>-0.0306</v>
      </c>
      <c r="I46" s="18" t="n">
        <v>-0.0312</v>
      </c>
      <c r="J46" s="3" t="n">
        <v>0.07788924974961429</v>
      </c>
      <c r="K46" s="3" t="n">
        <v>0.123662211299824</v>
      </c>
      <c r="L46" s="3" t="n">
        <v>0.396478965235284</v>
      </c>
      <c r="M46" s="3" t="n">
        <v>0.21549940033736</v>
      </c>
      <c r="N46" s="3" t="n">
        <v>0.0784197346991018</v>
      </c>
      <c r="O46" s="3" t="n">
        <v>0.0369375355827844</v>
      </c>
      <c r="P46" s="3" t="n">
        <v>0.0251914854264622</v>
      </c>
      <c r="Q46" s="3" t="n">
        <v>0.04592141766956936</v>
      </c>
      <c r="R46" s="5" t="n">
        <v>-0.004281391405885016</v>
      </c>
      <c r="S46" s="5" t="n">
        <v>-0.01007535423768402</v>
      </c>
      <c r="T46" s="5" t="n">
        <v>-0.02158118159043498</v>
      </c>
      <c r="U46" s="5" t="n">
        <v>-0.007408762455636042</v>
      </c>
      <c r="V46" s="5" t="n">
        <v>-0.002236971152698053</v>
      </c>
      <c r="W46" s="5" t="n">
        <v>-0.002038371311409048</v>
      </c>
      <c r="X46" s="5" t="n">
        <v>-0.001541261548207995</v>
      </c>
      <c r="Y46" s="5" t="n">
        <v>0</v>
      </c>
      <c r="Z46" s="5">
        <f>+SUM(R46:Y46)</f>
        <v/>
      </c>
      <c r="AA46" s="6">
        <f>+Z46-B46</f>
        <v/>
      </c>
    </row>
    <row r="47">
      <c r="A47" s="1" t="n">
        <v>45016</v>
      </c>
      <c r="B47" s="14" t="n">
        <v>0.03904446492</v>
      </c>
      <c r="C47" s="14">
        <f>+B47-($E$1/12)</f>
        <v/>
      </c>
      <c r="D47" s="18" t="n">
        <v>0.0333</v>
      </c>
      <c r="E47" s="18" t="n">
        <v>0.0264</v>
      </c>
      <c r="F47" s="18" t="n">
        <v>0.0371</v>
      </c>
      <c r="G47" s="18" t="n">
        <v>0.0299</v>
      </c>
      <c r="H47" s="18" t="n">
        <v>0.0306</v>
      </c>
      <c r="I47" s="18" t="n">
        <v>0.0313</v>
      </c>
      <c r="J47" s="3" t="n">
        <v>0.046456885628684</v>
      </c>
      <c r="K47" s="3" t="n">
        <v>0.0686114009612986</v>
      </c>
      <c r="L47" s="3" t="n">
        <v>0.272514507643598</v>
      </c>
      <c r="M47" s="3" t="n">
        <v>0.286493906681103</v>
      </c>
      <c r="N47" s="3" t="n">
        <v>0.120741584395252</v>
      </c>
      <c r="O47" s="3" t="n">
        <v>0.0388549671664522</v>
      </c>
      <c r="P47" s="3" t="n">
        <v>0.047946665820049</v>
      </c>
      <c r="Q47" s="3" t="n">
        <v>0.1183800817035632</v>
      </c>
      <c r="R47" s="5" t="n">
        <v>0.0005419024617900892</v>
      </c>
      <c r="S47" s="5" t="n">
        <v>0.003255454240310041</v>
      </c>
      <c r="T47" s="5" t="n">
        <v>0.02240162569493998</v>
      </c>
      <c r="U47" s="5" t="n">
        <v>0.00830492684341011</v>
      </c>
      <c r="V47" s="5" t="n">
        <v>0.004548920555079938</v>
      </c>
      <c r="W47" s="5" t="n">
        <v>0.00192582337358993</v>
      </c>
      <c r="X47" s="5" t="n">
        <v>-0.0006696409946540527</v>
      </c>
      <c r="Y47" s="5" t="n">
        <v>0</v>
      </c>
      <c r="Z47" s="5">
        <f>+SUM(R47:Y47)</f>
        <v/>
      </c>
      <c r="AA47" s="6">
        <f>+Z47-B47</f>
        <v/>
      </c>
    </row>
    <row r="48">
      <c r="A48" s="1" t="n">
        <v>45046</v>
      </c>
      <c r="B48" s="14" t="n">
        <v>0.01173070897</v>
      </c>
      <c r="C48" s="14">
        <f>+B48-($E$1/12)</f>
        <v/>
      </c>
      <c r="D48" s="18" t="n">
        <v>0.0157</v>
      </c>
      <c r="E48" s="18" t="n">
        <v>0.0057</v>
      </c>
      <c r="F48" s="18" t="n">
        <v>0.016</v>
      </c>
      <c r="G48" s="18" t="n">
        <v>0.0107</v>
      </c>
      <c r="H48" s="18" t="n">
        <v>0.0117</v>
      </c>
      <c r="I48" s="18" t="n">
        <v>0.0127</v>
      </c>
      <c r="J48" s="3" t="n">
        <v>0.0215182133365282</v>
      </c>
      <c r="K48" s="3" t="n">
        <v>0.120819100890492</v>
      </c>
      <c r="L48" s="3" t="n">
        <v>0.311146064105332</v>
      </c>
      <c r="M48" s="3" t="n">
        <v>0.263025591214916</v>
      </c>
      <c r="N48" s="3" t="n">
        <v>0.161930588391044</v>
      </c>
      <c r="O48" s="3" t="n">
        <v>0.0614265720756708</v>
      </c>
      <c r="P48" s="3" t="n">
        <v>0.0163008455004276</v>
      </c>
      <c r="Q48" s="3" t="n">
        <v>0.04383302448558934</v>
      </c>
      <c r="R48" s="5" t="n">
        <v>0.0002191233122499359</v>
      </c>
      <c r="S48" s="5" t="n">
        <v>-0.001082699644500029</v>
      </c>
      <c r="T48" s="5" t="n">
        <v>0.002505842686230109</v>
      </c>
      <c r="U48" s="5" t="n">
        <v>0.007878017056379916</v>
      </c>
      <c r="V48" s="5" t="n">
        <v>0.002433572504259907</v>
      </c>
      <c r="W48" s="5" t="n">
        <v>0.0001051445090500813</v>
      </c>
      <c r="X48" s="5" t="n">
        <v>-7.916178103595239e-05</v>
      </c>
      <c r="Y48" s="5" t="n">
        <v>0</v>
      </c>
      <c r="Z48" s="5">
        <f>+SUM(R48:Y48)</f>
        <v/>
      </c>
      <c r="AA48" s="6">
        <f>+Z48-B48</f>
        <v/>
      </c>
    </row>
    <row r="49">
      <c r="A49" s="1" t="n">
        <v>45077</v>
      </c>
      <c r="B49" s="14" t="n">
        <v>-0.01998142423</v>
      </c>
      <c r="C49" s="14">
        <f>+B49-($E$1/12)</f>
        <v/>
      </c>
      <c r="D49" s="18" t="n">
        <v>-0.0105</v>
      </c>
      <c r="E49" s="18" t="n">
        <v>-0.0114</v>
      </c>
      <c r="F49" s="18" t="n">
        <v>0.0046</v>
      </c>
      <c r="G49" s="18" t="n">
        <v>-0.0109</v>
      </c>
      <c r="H49" s="18" t="n">
        <v>-0.0109</v>
      </c>
      <c r="I49" s="18" t="n">
        <v>-0.0108</v>
      </c>
      <c r="J49" s="3" t="n">
        <v>0.00878337586724233</v>
      </c>
      <c r="K49" s="3" t="n">
        <v>0.111714951243678</v>
      </c>
      <c r="L49" s="3" t="n">
        <v>0.280106365270261</v>
      </c>
      <c r="M49" s="3" t="n">
        <v>0.276592519805543</v>
      </c>
      <c r="N49" s="3" t="n">
        <v>0.182510725071238</v>
      </c>
      <c r="O49" s="3" t="n">
        <v>0.08889867048989269</v>
      </c>
      <c r="P49" s="3" t="n">
        <v>0.0268736214955868</v>
      </c>
      <c r="Q49" s="3" t="n">
        <v>0.0245197707565582</v>
      </c>
      <c r="R49" s="5" t="n">
        <v>-0.0006716397898669513</v>
      </c>
      <c r="S49" s="5" t="n">
        <v>-0.002712297724529966</v>
      </c>
      <c r="T49" s="5" t="n">
        <v>-0.003945937571461999</v>
      </c>
      <c r="U49" s="5" t="n">
        <v>-0.01109963863252705</v>
      </c>
      <c r="V49" s="5" t="n">
        <v>0.0009053563720000657</v>
      </c>
      <c r="W49" s="5" t="n">
        <v>-0.001856419012336019</v>
      </c>
      <c r="X49" s="5" t="n">
        <v>-0.0009886454584370208</v>
      </c>
      <c r="Y49" s="5" t="n">
        <v>0</v>
      </c>
      <c r="Z49" s="5">
        <f>+SUM(R49:Y49)</f>
        <v/>
      </c>
      <c r="AA49" s="6">
        <f>+Z49-B49</f>
        <v/>
      </c>
    </row>
    <row r="50">
      <c r="A50" s="1" t="n">
        <v>45107</v>
      </c>
      <c r="B50" s="14" t="n">
        <v>0.02556583499</v>
      </c>
      <c r="C50" s="14">
        <f>+B50-($E$1/12)</f>
        <v/>
      </c>
      <c r="D50" s="18" t="n">
        <v>0.0579</v>
      </c>
      <c r="E50" s="18" t="n">
        <v>-0.0037</v>
      </c>
      <c r="F50" s="18" t="n">
        <v>0.0648</v>
      </c>
      <c r="G50" s="18" t="n">
        <v>0.0271</v>
      </c>
      <c r="H50" s="18" t="n">
        <v>0.0333</v>
      </c>
      <c r="I50" s="18" t="n">
        <v>0.0394</v>
      </c>
      <c r="J50" s="3" t="n">
        <v>0.0012956789374988</v>
      </c>
      <c r="K50" s="3" t="n">
        <v>0.0676327746748096</v>
      </c>
      <c r="L50" s="3" t="n">
        <v>0.277644944948982</v>
      </c>
      <c r="M50" s="3" t="n">
        <v>0.226844627566191</v>
      </c>
      <c r="N50" s="3" t="n">
        <v>0.261244512582075</v>
      </c>
      <c r="O50" s="3" t="n">
        <v>0.0676987648617087</v>
      </c>
      <c r="P50" s="3" t="n">
        <v>0.0110705560720998</v>
      </c>
      <c r="Q50" s="3" t="n">
        <v>0.08656814035663496</v>
      </c>
      <c r="R50" s="5" t="n">
        <v>0.0001538662472799768</v>
      </c>
      <c r="S50" s="5" t="n">
        <v>0.003745138638080014</v>
      </c>
      <c r="T50" s="5" t="n">
        <v>-0.005966946608601975</v>
      </c>
      <c r="U50" s="5" t="n">
        <v>0.01073626135640993</v>
      </c>
      <c r="V50" s="5" t="n">
        <v>0.01612983600470996</v>
      </c>
      <c r="W50" s="5" t="n">
        <v>0.0002289465526998935</v>
      </c>
      <c r="X50" s="5" t="n">
        <v>0.0006452105629599636</v>
      </c>
      <c r="Y50" s="5" t="n">
        <v>0</v>
      </c>
      <c r="Z50" s="5">
        <f>+SUM(R50:Y50)</f>
        <v/>
      </c>
      <c r="AA50" s="6">
        <f>+Z50-B50</f>
        <v/>
      </c>
    </row>
    <row r="51">
      <c r="A51" s="1" t="n">
        <v>45138</v>
      </c>
      <c r="B51" s="14" t="n">
        <v>0.02708877844</v>
      </c>
      <c r="C51" s="14">
        <f>+B51-($E$1/12)</f>
        <v/>
      </c>
      <c r="D51" s="18" t="n">
        <v>0.036</v>
      </c>
      <c r="E51" s="18" t="n">
        <v>-0.0002</v>
      </c>
      <c r="F51" s="18" t="n">
        <v>0.0327</v>
      </c>
      <c r="G51" s="18" t="n">
        <v>0.0179</v>
      </c>
      <c r="H51" s="18" t="n">
        <v>0.0215</v>
      </c>
      <c r="I51" s="18" t="n">
        <v>0.0251</v>
      </c>
      <c r="J51" s="3" t="n">
        <v>0.003206461354231</v>
      </c>
      <c r="K51" s="3" t="n">
        <v>0.102105808210278</v>
      </c>
      <c r="L51" s="3" t="n">
        <v>0.191837707913858</v>
      </c>
      <c r="M51" s="3" t="n">
        <v>0.26480501273287</v>
      </c>
      <c r="N51" s="3" t="n">
        <v>0.280059430374764</v>
      </c>
      <c r="O51" s="3" t="n">
        <v>0.0417845696840391</v>
      </c>
      <c r="P51" s="3" t="n">
        <v>0.0726862737770069</v>
      </c>
      <c r="Q51" s="3" t="n">
        <v>0.04351473595295297</v>
      </c>
      <c r="R51" s="5" t="n">
        <v>0.0002780200190299897</v>
      </c>
      <c r="S51" s="5" t="n">
        <v>0.005737399599329951</v>
      </c>
      <c r="T51" s="5" t="n">
        <v>0.004515546124749914</v>
      </c>
      <c r="U51" s="5" t="n">
        <v>0.007201569063260083</v>
      </c>
      <c r="V51" s="5" t="n">
        <v>0.009093711560510087</v>
      </c>
      <c r="W51" s="5" t="n">
        <v>-0.001196347611277959</v>
      </c>
      <c r="X51" s="5" t="n">
        <v>0.0007622355248000368</v>
      </c>
      <c r="Y51" s="5" t="n">
        <v>0</v>
      </c>
      <c r="Z51" s="5">
        <f>+SUM(R51:Y51)</f>
        <v/>
      </c>
      <c r="AA51" s="6">
        <f>+Z51-B51</f>
        <v/>
      </c>
    </row>
    <row r="52">
      <c r="A52" s="1" t="n">
        <v>45169</v>
      </c>
      <c r="B52" s="14" t="n">
        <v>-0.02451715542</v>
      </c>
      <c r="C52" s="14">
        <f>+B52-($E$1/12)</f>
        <v/>
      </c>
      <c r="D52" s="18" t="n">
        <v>-0.0291</v>
      </c>
      <c r="E52" s="18" t="n">
        <v>-0.0063</v>
      </c>
      <c r="F52" s="18" t="n">
        <v>-0.0163</v>
      </c>
      <c r="G52" s="18" t="n">
        <v>-0.0177</v>
      </c>
      <c r="H52" s="18" t="n">
        <v>-0.02</v>
      </c>
      <c r="I52" s="18" t="n">
        <v>-0.0222</v>
      </c>
      <c r="J52" s="3" t="n">
        <v>0.0732144093330787</v>
      </c>
      <c r="K52" s="3" t="n">
        <v>0.111138618800289</v>
      </c>
      <c r="L52" s="3" t="n">
        <v>0.213600921083757</v>
      </c>
      <c r="M52" s="3" t="n">
        <v>0.16278808265959</v>
      </c>
      <c r="N52" s="3" t="n">
        <v>0.359086429018189</v>
      </c>
      <c r="O52" s="3" t="n">
        <v>0.00641219411488706</v>
      </c>
      <c r="P52" s="3" t="n">
        <v>0.0692994829059894</v>
      </c>
      <c r="Q52" s="3" t="n">
        <v>0.00445986208421989</v>
      </c>
      <c r="R52" s="5" t="n">
        <v>0.00014035379013011</v>
      </c>
      <c r="S52" s="5" t="n">
        <v>-0.00735759965598104</v>
      </c>
      <c r="T52" s="5" t="n">
        <v>-0.002417749756078003</v>
      </c>
      <c r="U52" s="5" t="n">
        <v>-0.007722141078831957</v>
      </c>
      <c r="V52" s="5" t="n">
        <v>-0.005571084410953997</v>
      </c>
      <c r="W52" s="5" t="n">
        <v>-0.0007507465214090514</v>
      </c>
      <c r="X52" s="5" t="n">
        <v>-0.002154805933197945</v>
      </c>
      <c r="Y52" s="5" t="n">
        <v>0</v>
      </c>
      <c r="Z52" s="5">
        <f>+SUM(R52:Y52)</f>
        <v/>
      </c>
      <c r="AA52" s="6">
        <f>+Z52-B52</f>
        <v/>
      </c>
    </row>
    <row r="53">
      <c r="A53" s="1" t="n">
        <v>45199</v>
      </c>
      <c r="B53" s="14" t="n">
        <v>-0.03367074247</v>
      </c>
      <c r="C53" s="14">
        <f>+B53-($E$1/12)</f>
        <v/>
      </c>
      <c r="D53" s="18" t="n">
        <v>-0.0428</v>
      </c>
      <c r="E53" s="18" t="n">
        <v>-0.0259</v>
      </c>
      <c r="F53" s="18" t="n">
        <v>-0.0474</v>
      </c>
      <c r="G53" s="18" t="n">
        <v>-0.0343</v>
      </c>
      <c r="H53" s="18" t="n">
        <v>-0.036</v>
      </c>
      <c r="I53" s="18" t="n">
        <v>-0.0377</v>
      </c>
      <c r="J53" s="3" t="n">
        <v>0.155186667130456</v>
      </c>
      <c r="K53" s="3" t="n">
        <v>0.0392286884074811</v>
      </c>
      <c r="L53" s="3" t="n">
        <v>0.216992796640706</v>
      </c>
      <c r="M53" s="3" t="n">
        <v>0.109176025666791</v>
      </c>
      <c r="N53" s="3" t="n">
        <v>0.30225789019843</v>
      </c>
      <c r="O53" s="3" t="n">
        <v>0.00140062421765693</v>
      </c>
      <c r="P53" s="3" t="n">
        <v>0.0740919015061403</v>
      </c>
      <c r="Q53" s="3" t="n">
        <v>0.1016654062323386</v>
      </c>
      <c r="R53" s="5" t="n">
        <v>0.001339599281179993</v>
      </c>
      <c r="S53" s="5" t="n">
        <v>-0.000413725277523036</v>
      </c>
      <c r="T53" s="5" t="n">
        <v>-0.0105353211061</v>
      </c>
      <c r="U53" s="5" t="n">
        <v>-0.00404486730575504</v>
      </c>
      <c r="V53" s="5" t="n">
        <v>-0.01422692227758404</v>
      </c>
      <c r="W53" s="5" t="n">
        <v>-0.000192102700105945</v>
      </c>
      <c r="X53" s="5" t="n">
        <v>-0.005517133234785976</v>
      </c>
      <c r="Y53" s="5" t="n">
        <v>0</v>
      </c>
      <c r="Z53" s="5">
        <f>+SUM(R53:Y53)</f>
        <v/>
      </c>
      <c r="AA53" s="6">
        <f>+Z53-B53</f>
        <v/>
      </c>
    </row>
    <row r="54">
      <c r="A54" s="1" t="n">
        <v>45230</v>
      </c>
      <c r="B54" s="14" t="n">
        <v>-0.00698946318</v>
      </c>
      <c r="C54" s="14">
        <f>+B54-($E$1/12)</f>
        <v/>
      </c>
      <c r="D54" s="18" t="n">
        <v>-0.0254</v>
      </c>
      <c r="E54" s="18" t="n">
        <v>-0.0157</v>
      </c>
      <c r="F54" s="18" t="n">
        <v>-0.0217</v>
      </c>
      <c r="G54" s="18" t="n">
        <v>-0.0206</v>
      </c>
      <c r="H54" s="18" t="n">
        <v>-0.0215</v>
      </c>
      <c r="I54" s="18" t="n">
        <v>-0.0225</v>
      </c>
      <c r="J54" s="3" t="n">
        <v>0.294024796093663</v>
      </c>
      <c r="K54" s="3" t="n">
        <v>0.0613940125415931</v>
      </c>
      <c r="L54" s="3" t="n">
        <v>0.129530456210034</v>
      </c>
      <c r="M54" s="3" t="n">
        <v>0.103933202699394</v>
      </c>
      <c r="N54" s="3" t="n">
        <v>0.193423887811695</v>
      </c>
      <c r="O54" s="3" t="n">
        <v>0.00368343024891703</v>
      </c>
      <c r="P54" s="3" t="n">
        <v>0.0217432241819172</v>
      </c>
      <c r="Q54" s="3" t="n">
        <v>0.1922669902127866</v>
      </c>
      <c r="R54" s="5" t="n">
        <v>-0.004453591443991045</v>
      </c>
      <c r="S54" s="5" t="n">
        <v>-0.001899493469642022</v>
      </c>
      <c r="T54" s="5" t="n">
        <v>0.008768190959679956</v>
      </c>
      <c r="U54" s="5" t="n">
        <v>-0.003050464293487987</v>
      </c>
      <c r="V54" s="5" t="n">
        <v>-0.004118378273936019</v>
      </c>
      <c r="W54" s="5" t="n">
        <v>-0.0001624647930440482</v>
      </c>
      <c r="X54" s="5" t="n">
        <v>-0.001679283845071988</v>
      </c>
      <c r="Y54" s="5" t="n">
        <v>0</v>
      </c>
      <c r="Z54" s="5">
        <f>+SUM(R54:Y54)</f>
        <v/>
      </c>
      <c r="AA54" s="6">
        <f>+Z54-B54</f>
        <v/>
      </c>
    </row>
    <row r="55">
      <c r="A55" s="1" t="n">
        <v>45260</v>
      </c>
      <c r="B55" s="14" t="n">
        <v>0.03620884077</v>
      </c>
      <c r="C55" s="14">
        <f>+B55-($E$1/12)</f>
        <v/>
      </c>
      <c r="D55" s="18" t="n">
        <v>0.08890000000000001</v>
      </c>
      <c r="E55" s="18" t="n">
        <v>0.0459</v>
      </c>
      <c r="F55" s="18" t="n">
        <v>0.09130000000000001</v>
      </c>
      <c r="G55" s="18" t="n">
        <v>0.0674</v>
      </c>
      <c r="H55" s="18" t="n">
        <v>0.0717</v>
      </c>
      <c r="I55" s="18" t="n">
        <v>0.076</v>
      </c>
      <c r="J55" s="3" t="n">
        <v>0.180383362948855</v>
      </c>
      <c r="K55" s="3" t="n">
        <v>0.0542944723160922</v>
      </c>
      <c r="L55" s="3" t="n">
        <v>0.297409114177801</v>
      </c>
      <c r="M55" s="3" t="n">
        <v>0.0753632801127629</v>
      </c>
      <c r="N55" s="3" t="n">
        <v>0.205460302310294</v>
      </c>
      <c r="O55" s="3" t="n">
        <v>0.00128382949875023</v>
      </c>
      <c r="P55" s="3" t="n">
        <v>0.0216964189785451</v>
      </c>
      <c r="Q55" s="3" t="n">
        <v>0.1641092196568994</v>
      </c>
      <c r="R55" s="5" t="n">
        <v>-0.004106191076085008</v>
      </c>
      <c r="S55" s="5" t="n">
        <v>0.004232769156180094</v>
      </c>
      <c r="T55" s="5" t="n">
        <v>0.007836987537620077</v>
      </c>
      <c r="U55" s="5" t="n">
        <v>0.006374467345350077</v>
      </c>
      <c r="V55" s="5" t="n">
        <v>0.01840604846433003</v>
      </c>
      <c r="W55" s="5" t="n">
        <v>0.0001732360547999079</v>
      </c>
      <c r="X55" s="5" t="n">
        <v>0.002621268201409954</v>
      </c>
      <c r="Y55" s="5" t="n">
        <v>0</v>
      </c>
      <c r="Z55" s="5">
        <f>+SUM(R55:Y55)</f>
        <v/>
      </c>
      <c r="AA55" s="6">
        <f>+Z55-B55</f>
        <v/>
      </c>
    </row>
    <row r="56">
      <c r="A56" s="1" t="n">
        <v>45291</v>
      </c>
      <c r="B56" s="14" t="n">
        <v>0.02664715419</v>
      </c>
      <c r="C56" s="14">
        <f>+B56-($E$1/12)</f>
        <v/>
      </c>
      <c r="D56" s="18" t="n">
        <v>0.0483</v>
      </c>
      <c r="E56" s="18" t="n">
        <v>0.0369</v>
      </c>
      <c r="F56" s="18" t="n">
        <v>0.0457</v>
      </c>
      <c r="G56" s="18" t="n">
        <v>0.0426</v>
      </c>
      <c r="H56" s="18" t="n">
        <v>0.0437</v>
      </c>
      <c r="I56" s="18" t="n">
        <v>0.0449</v>
      </c>
      <c r="J56" s="3" t="n">
        <v>0.06262439970263139</v>
      </c>
      <c r="K56" s="3" t="n">
        <v>0.0985012933721303</v>
      </c>
      <c r="L56" s="3" t="n">
        <v>0.35055372280993</v>
      </c>
      <c r="M56" s="3" t="n">
        <v>0.134063108661949</v>
      </c>
      <c r="N56" s="3" t="n">
        <v>0.28128400320617</v>
      </c>
      <c r="O56" s="3" t="n">
        <v>0.0017256526582389</v>
      </c>
      <c r="P56" s="3" t="n">
        <v>0.0521047500665277</v>
      </c>
      <c r="Q56" s="3" t="n">
        <v>0.01914306952242262</v>
      </c>
      <c r="R56" s="5" t="n">
        <v>-0.00257390719028705</v>
      </c>
      <c r="S56" s="5" t="n">
        <v>0.003317834918070028</v>
      </c>
      <c r="T56" s="5" t="n">
        <v>0.003498921954820045</v>
      </c>
      <c r="U56" s="5" t="n">
        <v>0.006592504229310014</v>
      </c>
      <c r="V56" s="5" t="n">
        <v>0.01258177581787989</v>
      </c>
      <c r="W56" s="5" t="n">
        <v>0.0001414526257599302</v>
      </c>
      <c r="X56" s="5" t="n">
        <v>0.003962860834439974</v>
      </c>
      <c r="Y56" s="5" t="n">
        <v>0</v>
      </c>
      <c r="Z56" s="5">
        <f>+SUM(R56:Y56)</f>
        <v/>
      </c>
      <c r="AA56" s="6">
        <f>+Z56-B56</f>
        <v/>
      </c>
    </row>
    <row r="57">
      <c r="A57" s="1" t="n">
        <v>45322</v>
      </c>
      <c r="B57" s="14" t="n">
        <v>-0.00803438301</v>
      </c>
      <c r="C57" s="14">
        <f>+B57-($E$1/12)</f>
        <v/>
      </c>
      <c r="D57" s="18" t="n">
        <v>0.0028</v>
      </c>
      <c r="E57" s="18" t="n">
        <v>-0.0015</v>
      </c>
      <c r="F57" s="18" t="n">
        <v>0.0159</v>
      </c>
      <c r="G57" s="18" t="n">
        <v>0.0005999999999999999</v>
      </c>
      <c r="H57" s="18" t="n">
        <v>0.001</v>
      </c>
      <c r="I57" s="18" t="n">
        <v>0.0015</v>
      </c>
      <c r="J57" s="3" t="n">
        <v>0.007822955863113761</v>
      </c>
      <c r="K57" s="3" t="n">
        <v>0.0511684811587521</v>
      </c>
      <c r="L57" s="3" t="n">
        <v>0.229297035809785</v>
      </c>
      <c r="M57" s="3" t="n">
        <v>0.202039054960674</v>
      </c>
      <c r="N57" s="3" t="n">
        <v>0.348270146047609</v>
      </c>
      <c r="O57" s="3" t="n">
        <v>0.0358005530043329</v>
      </c>
      <c r="P57" s="3" t="n">
        <v>0.12024798947209</v>
      </c>
      <c r="Q57" s="3" t="n">
        <v>0.005353783683643143</v>
      </c>
      <c r="R57" s="5" t="n">
        <v>-0.0003181935008800263</v>
      </c>
      <c r="S57" s="5" t="n">
        <v>-0.00288923542001096</v>
      </c>
      <c r="T57" s="5" t="n">
        <v>-0.003539258827307989</v>
      </c>
      <c r="U57" s="5" t="n">
        <v>-0.0001188577772589516</v>
      </c>
      <c r="V57" s="5" t="n">
        <v>0.006104080761109909</v>
      </c>
      <c r="W57" s="5" t="n">
        <v>-0.0006277485245510528</v>
      </c>
      <c r="X57" s="5" t="n">
        <v>-0.006639824444320985</v>
      </c>
      <c r="Y57" s="5" t="n">
        <v>0</v>
      </c>
      <c r="Z57" s="5">
        <f>+SUM(R57:Y57)</f>
        <v/>
      </c>
      <c r="AA57" s="6">
        <f>+Z57-B57</f>
        <v/>
      </c>
    </row>
    <row r="58">
      <c r="A58" s="1" t="n">
        <v>45351</v>
      </c>
      <c r="B58" s="14" t="n">
        <v>0.02714786132</v>
      </c>
      <c r="C58" s="14">
        <f>+B58-($E$1/12)</f>
        <v/>
      </c>
      <c r="D58" s="18" t="n">
        <v>0.0451</v>
      </c>
      <c r="E58" s="18" t="n">
        <v>-0.0148</v>
      </c>
      <c r="F58" s="18" t="n">
        <v>0.0522</v>
      </c>
      <c r="G58" s="18" t="n">
        <v>0.0152</v>
      </c>
      <c r="H58" s="18" t="n">
        <v>0.0211</v>
      </c>
      <c r="I58" s="18" t="n">
        <v>0.0271</v>
      </c>
      <c r="J58" s="3" t="n">
        <v>0.0265432417834085</v>
      </c>
      <c r="K58" s="3" t="n">
        <v>0.0257038196721193</v>
      </c>
      <c r="L58" s="3" t="n">
        <v>0.213824099761255</v>
      </c>
      <c r="M58" s="3" t="n">
        <v>0.223215884934</v>
      </c>
      <c r="N58" s="3" t="n">
        <v>0.34997350007512</v>
      </c>
      <c r="O58" s="3" t="n">
        <v>0.0571415351729482</v>
      </c>
      <c r="P58" s="3" t="n">
        <v>0.0851335975106205</v>
      </c>
      <c r="Q58" s="3" t="n">
        <v>0.01846432109052842</v>
      </c>
      <c r="R58" s="5" t="n">
        <v>-0.0001820465352789791</v>
      </c>
      <c r="S58" s="5" t="n">
        <v>0.001310413322799908</v>
      </c>
      <c r="T58" s="5" t="n">
        <v>0.001115377689890007</v>
      </c>
      <c r="U58" s="5" t="n">
        <v>0.006496281321610065</v>
      </c>
      <c r="V58" s="5" t="n">
        <v>0.0183514639014799</v>
      </c>
      <c r="W58" s="5" t="n">
        <v>-0.001670499072482956</v>
      </c>
      <c r="X58" s="5" t="n">
        <v>0.002339923211120087</v>
      </c>
      <c r="Y58" s="5" t="n">
        <v>0</v>
      </c>
      <c r="Z58" s="5">
        <f>+SUM(R58:Y58)</f>
        <v/>
      </c>
      <c r="AA58" s="6">
        <f>+Z58-B58</f>
        <v/>
      </c>
    </row>
    <row r="59" ht="14.25" customHeight="1">
      <c r="A59" s="1" t="n">
        <v>45382</v>
      </c>
      <c r="B59" s="14" t="n">
        <v>0.03816549646</v>
      </c>
      <c r="C59" s="14">
        <f>+B59-($E$1/12)</f>
        <v/>
      </c>
      <c r="D59" s="18" t="n">
        <v>0.0326</v>
      </c>
      <c r="E59" s="18" t="n">
        <v>0.008999999999999999</v>
      </c>
      <c r="F59" s="18" t="n">
        <v>0.0327</v>
      </c>
      <c r="G59" s="18" t="n">
        <v>0.0208</v>
      </c>
      <c r="H59" s="18" t="n">
        <v>0.0232</v>
      </c>
      <c r="I59" s="18" t="n">
        <v>0.0255</v>
      </c>
      <c r="J59" s="3" t="n">
        <v>0.032669745987773</v>
      </c>
      <c r="K59" s="3" t="n">
        <v>0.0777704635748994</v>
      </c>
      <c r="L59" s="3" t="n">
        <v>0.117642476758053</v>
      </c>
      <c r="M59" s="3" t="n">
        <v>0.301860289959274</v>
      </c>
      <c r="N59" s="3" t="n">
        <v>0.341229391290426</v>
      </c>
      <c r="O59" s="3" t="n">
        <v>0.0267736868907386</v>
      </c>
      <c r="P59" s="3" t="n">
        <v>0.0867353030558152</v>
      </c>
      <c r="Q59" s="3" t="n">
        <v>0.01531864248302073</v>
      </c>
      <c r="R59" s="5" t="n">
        <v>0.001402779554710021</v>
      </c>
      <c r="S59" s="5" t="n">
        <v>0.00147273948658011</v>
      </c>
      <c r="T59" s="5" t="n">
        <v>0.01175468634832999</v>
      </c>
      <c r="U59" s="5" t="n">
        <v>0.009397093795650013</v>
      </c>
      <c r="V59" s="5" t="n">
        <v>0.01120095968008994</v>
      </c>
      <c r="W59" s="5" t="n">
        <v>0.0003804652431000921</v>
      </c>
      <c r="X59" s="5" t="n">
        <v>0.001572187762520105</v>
      </c>
      <c r="Y59" s="5" t="n">
        <v>0</v>
      </c>
      <c r="Z59" s="5">
        <f>+SUM(R59:Y59)</f>
        <v/>
      </c>
      <c r="AA59" s="6">
        <f>+Z59-B59</f>
        <v/>
      </c>
    </row>
    <row r="60">
      <c r="A60" s="1" t="n">
        <v>45412</v>
      </c>
      <c r="B60" s="14" t="n">
        <v>-0.01961055655</v>
      </c>
      <c r="C60" s="14">
        <f>+B60-($E$1/12)</f>
        <v/>
      </c>
      <c r="D60" s="18" t="n">
        <v>-0.0355</v>
      </c>
      <c r="E60" s="18" t="n">
        <v>-0.0248</v>
      </c>
      <c r="F60" s="18" t="n">
        <v>-0.0403</v>
      </c>
      <c r="G60" s="18" t="n">
        <v>-0.0301</v>
      </c>
      <c r="H60" s="18" t="n">
        <v>-0.0312</v>
      </c>
      <c r="I60" s="18" t="n">
        <v>-0.0323</v>
      </c>
      <c r="J60" s="3" t="n">
        <v>0.0570084088753789</v>
      </c>
      <c r="K60" s="3" t="n">
        <v>0.07291441921943689</v>
      </c>
      <c r="L60" s="3" t="n">
        <v>0.259144811178111</v>
      </c>
      <c r="M60" s="3" t="n">
        <v>0.252131761724625</v>
      </c>
      <c r="N60" s="3" t="n">
        <v>0.282190840825974</v>
      </c>
      <c r="O60" s="3" t="n">
        <v>0.0202055306247734</v>
      </c>
      <c r="P60" s="3" t="n">
        <v>0.0539587725504748</v>
      </c>
      <c r="Q60" s="3" t="n">
        <v>0.002445455001226171</v>
      </c>
      <c r="R60" s="5" t="n">
        <v>0.0007988994118799386</v>
      </c>
      <c r="S60" s="5" t="n">
        <v>-0.000106923560846961</v>
      </c>
      <c r="T60" s="5" t="n">
        <v>0.006192254486750093</v>
      </c>
      <c r="U60" s="5" t="n">
        <v>-0.008268056080712016</v>
      </c>
      <c r="V60" s="5" t="n">
        <v>-0.01137263894426199</v>
      </c>
      <c r="W60" s="5" t="n">
        <v>-0.00143211242110397</v>
      </c>
      <c r="X60" s="5" t="n">
        <v>-0.004915979439633955</v>
      </c>
      <c r="Y60" s="5" t="n">
        <v>0</v>
      </c>
      <c r="Z60" s="5">
        <f>+SUM(R60:Y60)</f>
        <v/>
      </c>
      <c r="AA60" s="6">
        <f>+Z60-B60</f>
        <v/>
      </c>
    </row>
    <row r="61">
      <c r="A61" s="1" t="n">
        <v>45443</v>
      </c>
      <c r="B61" s="14" t="n">
        <v>0.02933839146</v>
      </c>
      <c r="C61" s="14">
        <f>+B61-($E$1/12)</f>
        <v/>
      </c>
      <c r="D61" s="18" t="n">
        <v>0.0458</v>
      </c>
      <c r="E61" s="18" t="n">
        <v>0.0167</v>
      </c>
      <c r="F61" s="18" t="n">
        <v>0.0506</v>
      </c>
      <c r="G61" s="18" t="n">
        <v>0.0312</v>
      </c>
      <c r="H61" s="18" t="n">
        <v>0.0341</v>
      </c>
      <c r="I61" s="18" t="n">
        <v>0.037</v>
      </c>
      <c r="J61" s="3" t="n">
        <v>0.164817701875252</v>
      </c>
      <c r="K61" s="3" t="n">
        <v>0.103517853979827</v>
      </c>
      <c r="L61" s="3" t="n">
        <v>0.249959814060037</v>
      </c>
      <c r="M61" s="3" t="n">
        <v>0.194679970440856</v>
      </c>
      <c r="N61" s="3" t="n">
        <v>0.242635116323671</v>
      </c>
      <c r="O61" s="3" t="n">
        <v>0.0060546999360539</v>
      </c>
      <c r="P61" s="3" t="n">
        <v>0.018947739465266</v>
      </c>
      <c r="Q61" s="3" t="n">
        <v>0.0193871039190372</v>
      </c>
      <c r="R61" s="5" t="n">
        <v>0.001068956594979964</v>
      </c>
      <c r="S61" s="5" t="n">
        <v>0.002067826616469981</v>
      </c>
      <c r="T61" s="5" t="n">
        <v>0.004231222515290067</v>
      </c>
      <c r="U61" s="5" t="n">
        <v>0.00972253099899989</v>
      </c>
      <c r="V61" s="5" t="n">
        <v>0.01208538285865002</v>
      </c>
      <c r="W61" s="5" t="n">
        <v>0.0002739960258100194</v>
      </c>
      <c r="X61" s="5" t="n">
        <v>0.0009805240732501108</v>
      </c>
      <c r="Y61" s="5" t="n">
        <v>0</v>
      </c>
      <c r="Z61" s="5">
        <f>+SUM(R61:Y61)</f>
        <v/>
      </c>
      <c r="AA61" s="6">
        <f>+Z61-B61</f>
        <v/>
      </c>
    </row>
    <row r="62">
      <c r="A62" s="1" t="n">
        <v>45473</v>
      </c>
      <c r="B62" s="14" t="n">
        <v>0.01004575947</v>
      </c>
      <c r="C62" s="14">
        <f>+B62-($E$1/12)</f>
        <v/>
      </c>
      <c r="D62" s="18" t="n">
        <v>0.0204</v>
      </c>
      <c r="E62" s="18" t="n">
        <v>0.008800000000000001</v>
      </c>
      <c r="F62" s="18" t="n">
        <v>0.0353</v>
      </c>
      <c r="G62" s="18" t="n">
        <v>0.0146</v>
      </c>
      <c r="H62" s="18" t="n">
        <v>0.0158</v>
      </c>
      <c r="I62" s="18" t="n">
        <v>0.0169</v>
      </c>
      <c r="J62" s="3" t="n">
        <v>0.0975576427167185</v>
      </c>
      <c r="K62" s="3" t="n">
        <v>0.124414239770951</v>
      </c>
      <c r="L62" s="3" t="n">
        <v>0.209445600487223</v>
      </c>
      <c r="M62" s="3" t="n">
        <v>0.215128541373415</v>
      </c>
      <c r="N62" s="3" t="n">
        <v>0.295158077679879</v>
      </c>
      <c r="O62" s="3" t="n">
        <v>0.00531439502325083</v>
      </c>
      <c r="P62" s="3" t="n">
        <v>0.0435278127755568</v>
      </c>
      <c r="Q62" s="3" t="n">
        <v>0.009453690173005902</v>
      </c>
      <c r="R62" s="5" t="n">
        <v>-0.001050968863143042</v>
      </c>
      <c r="S62" s="5" t="n">
        <v>0.003025328773980096</v>
      </c>
      <c r="T62" s="5" t="n">
        <v>9.517521340995927e-05</v>
      </c>
      <c r="U62" s="5" t="n">
        <v>-0.003917546618810053</v>
      </c>
      <c r="V62" s="5" t="n">
        <v>0.01042405774022992</v>
      </c>
      <c r="W62" s="5" t="n">
        <v>0.0001092642588800263</v>
      </c>
      <c r="X62" s="5" t="n">
        <v>0.0008862663774500401</v>
      </c>
      <c r="Y62" s="5" t="n">
        <v>0</v>
      </c>
      <c r="Z62" s="5">
        <f>+SUM(R62:Y62)</f>
        <v/>
      </c>
      <c r="AA62" s="6">
        <f>+Z62-B62</f>
        <v/>
      </c>
    </row>
    <row r="63">
      <c r="A63" s="1" t="n">
        <v>45504</v>
      </c>
      <c r="B63" s="14" t="n">
        <v>0.02418614916</v>
      </c>
      <c r="C63" s="14">
        <f>+B63-($E$1/12)</f>
        <v/>
      </c>
      <c r="D63" s="18" t="n">
        <v>0.0154</v>
      </c>
      <c r="E63" s="18" t="n">
        <v>0.0242</v>
      </c>
      <c r="F63" s="18" t="n">
        <v>0.0121</v>
      </c>
      <c r="G63" s="18" t="n">
        <v>0.0198</v>
      </c>
      <c r="H63" s="18" t="n">
        <v>0.0189</v>
      </c>
      <c r="I63" s="18" t="n">
        <v>0.018</v>
      </c>
      <c r="J63" s="3" t="n">
        <v>0.054855104888892</v>
      </c>
      <c r="K63" s="3" t="n">
        <v>0.161492047115239</v>
      </c>
      <c r="L63" s="3" t="n">
        <v>0.163535005692874</v>
      </c>
      <c r="M63" s="3" t="n">
        <v>0.151576945989606</v>
      </c>
      <c r="N63" s="3" t="n">
        <v>0.375253887432611</v>
      </c>
      <c r="O63" s="3" t="n">
        <v>0.0176858106970206</v>
      </c>
      <c r="P63" s="3" t="n">
        <v>0.07016968080662619</v>
      </c>
      <c r="Q63" s="3" t="n">
        <v>0.005431517377131212</v>
      </c>
      <c r="R63" s="5" t="n">
        <v>-0.0008880347100299613</v>
      </c>
      <c r="S63" s="5" t="n">
        <v>0.001426957657010064</v>
      </c>
      <c r="T63" s="5" t="n">
        <v>0.008789377225079997</v>
      </c>
      <c r="U63" s="5" t="n">
        <v>0.004079104052020055</v>
      </c>
      <c r="V63" s="5" t="n">
        <v>0.004535619359139931</v>
      </c>
      <c r="W63" s="5" t="n">
        <v>0.0008713525376200515</v>
      </c>
      <c r="X63" s="5" t="n">
        <v>0.005555100904250043</v>
      </c>
      <c r="Y63" s="5" t="n">
        <v>0</v>
      </c>
      <c r="Z63" s="5">
        <f>+SUM(R63:Y63)</f>
        <v/>
      </c>
      <c r="AA63" s="6">
        <f>+Z63-B63</f>
        <v/>
      </c>
    </row>
    <row r="64">
      <c r="A64" s="1" t="n">
        <v>45535</v>
      </c>
      <c r="B64" s="14" t="n">
        <v>0.02376120065</v>
      </c>
      <c r="C64" s="14">
        <f>+B64-($E$1/12)</f>
        <v/>
      </c>
      <c r="D64" s="18" t="n">
        <v>0.025</v>
      </c>
      <c r="E64" s="18" t="n">
        <v>0.0146</v>
      </c>
      <c r="F64" s="18" t="n">
        <v>0.0234</v>
      </c>
      <c r="G64" s="18" t="n">
        <v>0.0198</v>
      </c>
      <c r="H64" s="18" t="n">
        <v>0.0208</v>
      </c>
      <c r="I64" s="18" t="n">
        <v>0.0219</v>
      </c>
      <c r="J64" s="3" t="n">
        <v>0.00651830252777323</v>
      </c>
      <c r="K64" s="3" t="n">
        <v>0.0812562770999245</v>
      </c>
      <c r="L64" s="3" t="n">
        <v>0.17910682298974</v>
      </c>
      <c r="M64" s="3" t="n">
        <v>0.12254596310858</v>
      </c>
      <c r="N64" s="3" t="n">
        <v>0.382104883421168</v>
      </c>
      <c r="O64" s="3" t="n">
        <v>0.06313165421334679</v>
      </c>
      <c r="P64" s="3" t="n">
        <v>0.16103079192601</v>
      </c>
      <c r="Q64" s="3" t="n">
        <v>0.00430530471345747</v>
      </c>
      <c r="R64" s="5" t="n">
        <v>-0.0006701890657100362</v>
      </c>
      <c r="S64" s="5" t="n">
        <v>-0.0004497493552509946</v>
      </c>
      <c r="T64" s="5" t="n">
        <v>0.003809842864249902</v>
      </c>
      <c r="U64" s="5" t="n">
        <v>0.003370186731779912</v>
      </c>
      <c r="V64" s="5" t="n">
        <v>0.009219958939030048</v>
      </c>
      <c r="W64" s="5" t="n">
        <v>0.0009077336969700589</v>
      </c>
      <c r="X64" s="5" t="n">
        <v>0.00755222614152995</v>
      </c>
      <c r="Y64" s="5" t="n">
        <v>0</v>
      </c>
      <c r="Z64" s="5">
        <f>+SUM(R64:Y64)</f>
        <v/>
      </c>
      <c r="AA64" s="6">
        <f>+Z64-B64</f>
        <v/>
      </c>
    </row>
    <row r="65">
      <c r="A65" s="1" t="n">
        <v>45565</v>
      </c>
      <c r="B65" s="14" t="n">
        <v>0.0273184846</v>
      </c>
      <c r="C65" s="14">
        <f>+B65-($E$1/12)</f>
        <v/>
      </c>
      <c r="D65" s="18" t="n">
        <v>0.022</v>
      </c>
      <c r="E65" s="18" t="n">
        <v>0.0133</v>
      </c>
      <c r="F65" s="18" t="n">
        <v>0.021</v>
      </c>
      <c r="G65" s="18" t="n">
        <v>0.0176</v>
      </c>
      <c r="H65" s="18" t="n">
        <v>0.0185</v>
      </c>
      <c r="I65" s="18" t="n">
        <v>0.0194</v>
      </c>
      <c r="J65" s="3" t="n">
        <v>0.0025491524477426</v>
      </c>
      <c r="K65" s="3" t="n">
        <v>0.0448519216826597</v>
      </c>
      <c r="L65" s="3" t="n">
        <v>0.232642246577438</v>
      </c>
      <c r="M65" s="3" t="n">
        <v>0.105372317427297</v>
      </c>
      <c r="N65" s="3" t="n">
        <v>0.241731305021668</v>
      </c>
      <c r="O65" s="3" t="n">
        <v>0.104466516512268</v>
      </c>
      <c r="P65" s="3" t="n">
        <v>0.266840588452228</v>
      </c>
      <c r="Q65" s="3" t="n">
        <v>0.001545951878698659</v>
      </c>
      <c r="R65" s="5" t="n">
        <v>-5.560867883103171e-05</v>
      </c>
      <c r="S65" s="5" t="n">
        <v>0.001837908458149906</v>
      </c>
      <c r="T65" s="5" t="n">
        <v>0.01200248517836</v>
      </c>
      <c r="U65" s="5" t="n">
        <v>0.0004716920110499068</v>
      </c>
      <c r="V65" s="5" t="n">
        <v>0.002145176836529927</v>
      </c>
      <c r="W65" s="5" t="n">
        <v>0.001452379590030084</v>
      </c>
      <c r="X65" s="5" t="n">
        <v>0.00819083270272003</v>
      </c>
      <c r="Y65" s="5" t="n">
        <v>0</v>
      </c>
      <c r="Z65" s="5">
        <f>+SUM(R65:Y65)</f>
        <v/>
      </c>
      <c r="AA65" s="6">
        <f>+Z65-B65</f>
        <v/>
      </c>
    </row>
    <row r="66">
      <c r="A66" s="1" t="n">
        <v>45596</v>
      </c>
      <c r="B66" s="14" t="n">
        <v>-0.01199114624</v>
      </c>
      <c r="C66" s="14">
        <f>+B66-($E$1/12)</f>
        <v/>
      </c>
      <c r="D66" s="18" t="n">
        <v>-0.0209</v>
      </c>
      <c r="E66" s="18" t="n">
        <v>-0.0252</v>
      </c>
      <c r="F66" s="18" t="n">
        <v>-0.0089</v>
      </c>
      <c r="G66" s="18" t="n">
        <v>-0.0231</v>
      </c>
      <c r="H66" s="18" t="n">
        <v>-0.0226</v>
      </c>
      <c r="I66" s="18" t="n">
        <v>-0.0222</v>
      </c>
      <c r="J66" s="3" t="n">
        <v>0</v>
      </c>
      <c r="K66" s="3" t="n">
        <v>0.0636659522373261</v>
      </c>
      <c r="L66" s="3" t="n">
        <v>0.29528271818211</v>
      </c>
      <c r="M66" s="3" t="n">
        <v>0.0505119719083261</v>
      </c>
      <c r="N66" s="3" t="n">
        <v>0.162534940514308</v>
      </c>
      <c r="O66" s="3" t="n">
        <v>0.137126808923731</v>
      </c>
      <c r="P66" s="3" t="n">
        <v>0.290877608234197</v>
      </c>
      <c r="Q66" s="3" t="n">
        <v>1.77635683940025e-15</v>
      </c>
      <c r="R66" s="5" t="n">
        <v>4.420480494005119e-05</v>
      </c>
      <c r="S66" s="5" t="n">
        <v>-0.002082826634607016</v>
      </c>
      <c r="T66" s="5" t="n">
        <v>0.0120641703695199</v>
      </c>
      <c r="U66" s="5" t="n">
        <v>-0.00307113478382004</v>
      </c>
      <c r="V66" s="5" t="n">
        <v>-0.002117286244085026</v>
      </c>
      <c r="W66" s="5" t="n">
        <v>-0.007674372246141981</v>
      </c>
      <c r="X66" s="5" t="n">
        <v>-0.009980335905154014</v>
      </c>
      <c r="Y66" s="5" t="n">
        <v>0</v>
      </c>
      <c r="Z66" s="5">
        <f>+SUM(R66:Y66)</f>
        <v/>
      </c>
      <c r="AA66" s="6">
        <f>+Z66-B66</f>
        <v/>
      </c>
    </row>
    <row r="67">
      <c r="A67" s="1" t="n">
        <v>45626</v>
      </c>
      <c r="B67" s="14" t="n">
        <v>0.005912444249999999</v>
      </c>
      <c r="C67" s="14">
        <f>+B67-($E$1/12)</f>
        <v/>
      </c>
      <c r="D67" s="18" t="n">
        <v>0.0403</v>
      </c>
      <c r="E67" s="18" t="n">
        <v>0.0111</v>
      </c>
      <c r="F67" s="18" t="n">
        <v>0.0596</v>
      </c>
      <c r="G67" s="18" t="n">
        <v>0.0257</v>
      </c>
      <c r="H67" s="18" t="n">
        <v>0.0286</v>
      </c>
      <c r="I67" s="18" t="n">
        <v>0.0316</v>
      </c>
      <c r="J67" s="3" t="n">
        <v>0.0265387068769506</v>
      </c>
      <c r="K67" s="3" t="n">
        <v>0.0893251242765674</v>
      </c>
      <c r="L67" s="3" t="n">
        <v>0.370433819556428</v>
      </c>
      <c r="M67" s="3" t="n">
        <v>0.0268570297225235</v>
      </c>
      <c r="N67" s="3" t="n">
        <v>0.172645988164935</v>
      </c>
      <c r="O67" s="3" t="n">
        <v>0.0480265451889365</v>
      </c>
      <c r="P67" s="3" t="n">
        <v>0.233555022235108</v>
      </c>
      <c r="Q67" s="3" t="n">
        <v>0.03261776397855098</v>
      </c>
      <c r="R67" s="5" t="n">
        <v>-0.0002235986332760342</v>
      </c>
      <c r="S67" s="5" t="n">
        <v>-0.00237377740264999</v>
      </c>
      <c r="T67" s="5" t="n">
        <v>-0.01108302379223403</v>
      </c>
      <c r="U67" s="5" t="n">
        <v>-3.712823992796377e-05</v>
      </c>
      <c r="V67" s="5" t="n">
        <v>0.01013987922917003</v>
      </c>
      <c r="W67" s="5" t="n">
        <v>-0.000189283486290992</v>
      </c>
      <c r="X67" s="5" t="n">
        <v>0.009093615695529911</v>
      </c>
      <c r="Y67" s="5" t="n">
        <v>0</v>
      </c>
      <c r="Z67" s="5">
        <f>+SUM(R67:Y67)</f>
        <v/>
      </c>
      <c r="AA67" s="6">
        <f>+Z67-B67</f>
        <v/>
      </c>
    </row>
    <row r="68">
      <c r="A68" s="1" t="n">
        <v>45657</v>
      </c>
      <c r="B68" s="14" t="n">
        <v>-0.03814648433</v>
      </c>
      <c r="C68" s="14">
        <f>+B68-($E$1/12)</f>
        <v/>
      </c>
      <c r="D68" s="18" t="n">
        <v>-0.0265</v>
      </c>
      <c r="E68" s="18" t="n">
        <v>-0.0169</v>
      </c>
      <c r="F68" s="18" t="n">
        <v>-0.0241</v>
      </c>
      <c r="G68" s="18" t="n">
        <v>-0.0217</v>
      </c>
      <c r="H68" s="18" t="n">
        <v>-0.0227</v>
      </c>
      <c r="I68" s="18" t="n">
        <v>-0.0237</v>
      </c>
      <c r="J68" s="3" t="n">
        <v>0.0122442199647471</v>
      </c>
      <c r="K68" s="3" t="n">
        <v>0.0460938674505554</v>
      </c>
      <c r="L68" s="3" t="n">
        <v>0.200534867946944</v>
      </c>
      <c r="M68" s="3" t="n">
        <v>0.0278139522296525</v>
      </c>
      <c r="N68" s="3" t="n">
        <v>0.380938814885213</v>
      </c>
      <c r="O68" s="3" t="n">
        <v>0.0774449204409271</v>
      </c>
      <c r="P68" s="3" t="n">
        <v>0.218769780199626</v>
      </c>
      <c r="Q68" s="3" t="n">
        <v>0.03615957688233484</v>
      </c>
      <c r="R68" s="5" t="n">
        <v>0.0001229180960600207</v>
      </c>
      <c r="S68" s="5" t="n">
        <v>-0.0006341633902749999</v>
      </c>
      <c r="T68" s="5" t="n">
        <v>-0.004163236547685023</v>
      </c>
      <c r="U68" s="5" t="n">
        <v>-0.0008308580437119684</v>
      </c>
      <c r="V68" s="5" t="n">
        <v>-0.00956437073129901</v>
      </c>
      <c r="W68" s="5" t="n">
        <v>-0.005043385943921952</v>
      </c>
      <c r="X68" s="5" t="n">
        <v>-0.01855911311664105</v>
      </c>
      <c r="Y68" s="5" t="n">
        <v>0</v>
      </c>
      <c r="Z68" s="5">
        <f>+SUM(R68:Y68)</f>
        <v/>
      </c>
      <c r="AA68" s="6">
        <f>+Z68-B68</f>
        <v/>
      </c>
    </row>
    <row r="69">
      <c r="A69" s="1" t="n">
        <v>45688</v>
      </c>
      <c r="B69" s="14" t="n">
        <v>0.02925084639</v>
      </c>
      <c r="C69" s="14">
        <f>+B69-($E$1/12)</f>
        <v/>
      </c>
      <c r="D69" s="18" t="n">
        <v>0.0314</v>
      </c>
      <c r="E69" s="18" t="n">
        <v>0.0052</v>
      </c>
      <c r="F69" s="18" t="n">
        <v>0.0269</v>
      </c>
      <c r="G69" s="18" t="n">
        <v>0.0183</v>
      </c>
      <c r="H69" s="18" t="n">
        <v>0.0209</v>
      </c>
      <c r="I69" s="18" t="n">
        <v>0.0235</v>
      </c>
      <c r="J69" s="3" t="n">
        <v>0.069489134662695</v>
      </c>
      <c r="K69" s="3" t="n">
        <v>0.08374945915670461</v>
      </c>
      <c r="L69" s="3" t="n">
        <v>0.213883766077201</v>
      </c>
      <c r="M69" s="3" t="n">
        <v>0.035591476448886</v>
      </c>
      <c r="N69" s="3" t="n">
        <v>0.359979209547067</v>
      </c>
      <c r="O69" s="3" t="n">
        <v>0.0163348975605994</v>
      </c>
      <c r="P69" s="3" t="n">
        <v>0.0983330694863622</v>
      </c>
      <c r="Q69" s="3" t="n">
        <v>0.1226389870604848</v>
      </c>
      <c r="R69" s="5" t="n">
        <v>0.001395901922160103</v>
      </c>
      <c r="S69" s="5" t="n">
        <v>0.001846480330019995</v>
      </c>
      <c r="T69" s="5" t="n">
        <v>0.01414381480904003</v>
      </c>
      <c r="U69" s="5" t="n">
        <v>0.001716892041049967</v>
      </c>
      <c r="V69" s="5" t="n">
        <v>0.009594628809320049</v>
      </c>
      <c r="W69" s="5" t="n">
        <v>0.0002398490329800218</v>
      </c>
      <c r="X69" s="5" t="n">
        <v>0.0009260899931899935</v>
      </c>
      <c r="Y69" s="5" t="n">
        <v>0</v>
      </c>
      <c r="Z69" s="5">
        <f>+SUM(R69:Y69)</f>
        <v/>
      </c>
      <c r="AA69" s="6">
        <f>+Z69-B69</f>
        <v/>
      </c>
    </row>
    <row r="70">
      <c r="A70" s="1" t="n">
        <v>45716</v>
      </c>
      <c r="B70" s="14" t="n">
        <v>0.00446820196</v>
      </c>
      <c r="C70" s="14">
        <f>+B70-($E$1/12)</f>
        <v/>
      </c>
      <c r="D70" s="18" t="n">
        <v>-0.003</v>
      </c>
      <c r="E70" s="18" t="n">
        <v>0.0224</v>
      </c>
      <c r="F70" s="18" t="n">
        <v>-0.0127</v>
      </c>
      <c r="G70" s="18" t="n">
        <v>0.0097</v>
      </c>
      <c r="H70" s="18" t="n">
        <v>0.0072</v>
      </c>
      <c r="I70" s="18" t="n">
        <v>0.0046</v>
      </c>
      <c r="J70" s="3" t="n">
        <v>0.131237448340768</v>
      </c>
      <c r="K70" s="3" t="n">
        <v>0.0646782585884343</v>
      </c>
      <c r="L70" s="3" t="n">
        <v>0.235428419101352</v>
      </c>
      <c r="M70" s="3" t="n">
        <v>0.108910345920026</v>
      </c>
      <c r="N70" s="3" t="n">
        <v>0.315540849704341</v>
      </c>
      <c r="O70" s="3" t="n">
        <v>0.0042808000621302</v>
      </c>
      <c r="P70" s="3" t="n">
        <v>0.0713745188544488</v>
      </c>
      <c r="Q70" s="3" t="n">
        <v>0.06854935942849982</v>
      </c>
      <c r="R70" s="5" t="n">
        <v>-0.0002787677407679601</v>
      </c>
      <c r="S70" s="5" t="n">
        <v>0.0006033090306301059</v>
      </c>
      <c r="T70" s="5" t="n">
        <v>0.004185898686660083</v>
      </c>
      <c r="U70" s="5" t="n">
        <v>0.004092240706440098</v>
      </c>
      <c r="V70" s="5" t="n">
        <v>-0.004122743617838043</v>
      </c>
      <c r="W70" s="5" t="n">
        <v>0.0003333175507900243</v>
      </c>
      <c r="X70" s="5" t="n">
        <v>0.002591968457209992</v>
      </c>
      <c r="Y70" s="5" t="n">
        <v>0</v>
      </c>
      <c r="Z70" s="5">
        <f>+SUM(R70:Y70)</f>
        <v/>
      </c>
      <c r="AA70" s="6">
        <f>+Z70-B70</f>
        <v/>
      </c>
    </row>
    <row r="71">
      <c r="A71" s="1" t="n">
        <v>45747</v>
      </c>
      <c r="B71" s="14" t="n">
        <v>0.01214819508</v>
      </c>
      <c r="C71" s="14">
        <f>+B71-($E$1/12)</f>
        <v/>
      </c>
      <c r="D71" s="18" t="n">
        <v>-0.0367</v>
      </c>
      <c r="E71" s="18" t="n">
        <v>-0.0003</v>
      </c>
      <c r="F71" s="18" t="n">
        <v>-0.0557</v>
      </c>
      <c r="G71" s="18" t="n">
        <v>-0.0185</v>
      </c>
      <c r="H71" s="18" t="n">
        <v>-0.0222</v>
      </c>
      <c r="I71" s="18" t="n">
        <v>-0.0258</v>
      </c>
      <c r="J71" s="3" t="n">
        <v>0.0827835595561114</v>
      </c>
      <c r="K71" s="3" t="n">
        <v>0.0660075867241854</v>
      </c>
      <c r="L71" s="3" t="n">
        <v>0.29947072972799</v>
      </c>
      <c r="M71" s="3" t="n">
        <v>0.159638629904874</v>
      </c>
      <c r="N71" s="3" t="n">
        <v>0.193931943742152</v>
      </c>
      <c r="O71" s="3" t="n">
        <v>0.0826230702819558</v>
      </c>
      <c r="P71" s="3" t="n">
        <v>0.115544480062729</v>
      </c>
      <c r="Q71" s="3" t="n">
        <v>2.331468351712829e-15</v>
      </c>
      <c r="R71" s="5" t="n">
        <v>0.001604643204059952</v>
      </c>
      <c r="S71" s="5" t="n">
        <v>0.0008205426583700604</v>
      </c>
      <c r="T71" s="5" t="n">
        <v>0.02747546208783991</v>
      </c>
      <c r="U71" s="5" t="n">
        <v>-0.000126704259644006</v>
      </c>
      <c r="V71" s="5" t="n">
        <v>-0.01289280678703997</v>
      </c>
      <c r="W71" s="5" t="n">
        <v>-0.001371654258503052</v>
      </c>
      <c r="X71" s="5" t="n">
        <v>-0.002891578474585987</v>
      </c>
      <c r="Y71" s="5" t="n">
        <v>0</v>
      </c>
      <c r="Z71" s="5">
        <f>+SUM(R71:Y71)</f>
        <v/>
      </c>
      <c r="AA71" s="6">
        <f>+Z71-B71</f>
        <v/>
      </c>
    </row>
    <row r="72">
      <c r="A72" s="1" t="n">
        <v>45777</v>
      </c>
      <c r="B72" s="14" t="n">
        <v>0.00351060328</v>
      </c>
      <c r="C72" s="14">
        <f>+B72-($E$1/12)</f>
        <v/>
      </c>
      <c r="D72" s="18" t="n">
        <v>0.0052</v>
      </c>
      <c r="E72" s="18" t="n">
        <v>0.0043</v>
      </c>
      <c r="F72" s="18" t="n">
        <v>-0.008699999999999999</v>
      </c>
      <c r="G72" s="18" t="n">
        <v>0.0047</v>
      </c>
      <c r="H72" s="18" t="n">
        <v>0.0048</v>
      </c>
      <c r="I72" s="18" t="n">
        <v>0.0049</v>
      </c>
      <c r="J72" s="3" t="n">
        <v>0.182362412774258</v>
      </c>
      <c r="K72" s="3" t="n">
        <v>0.08007403938272339</v>
      </c>
      <c r="L72" s="3" t="n">
        <v>0.312740201609884</v>
      </c>
      <c r="M72" s="3" t="n">
        <v>0.142237527451625</v>
      </c>
      <c r="N72" s="3" t="n">
        <v>0.0420918504928111</v>
      </c>
      <c r="O72" s="3" t="n">
        <v>0.09112866292076351</v>
      </c>
      <c r="P72" s="3" t="n">
        <v>0.0787062806060117</v>
      </c>
      <c r="Q72" s="3" t="n">
        <v>0.07065902476192332</v>
      </c>
      <c r="R72" s="5" t="n">
        <v>-0.01553587551362001</v>
      </c>
      <c r="S72" s="5" t="n">
        <v>0.0001988812599600376</v>
      </c>
      <c r="T72" s="5" t="n">
        <v>0.01818697752439991</v>
      </c>
      <c r="U72" s="5" t="n">
        <v>0.00571153191352991</v>
      </c>
      <c r="V72" s="5" t="n">
        <v>0.0002041320715100436</v>
      </c>
      <c r="W72" s="5" t="n">
        <v>-0.001597003113901985</v>
      </c>
      <c r="X72" s="5" t="n">
        <v>-0.001636472905701014</v>
      </c>
      <c r="Y72" s="5" t="n">
        <v>0</v>
      </c>
      <c r="Z72" s="5">
        <f>+SUM(R72:Y72)</f>
        <v/>
      </c>
      <c r="AA72" s="6">
        <f>+Z72-B72</f>
        <v/>
      </c>
    </row>
    <row r="73">
      <c r="A73" s="1" t="n">
        <v>45808</v>
      </c>
      <c r="B73" s="14" t="n">
        <v>0.01490137606</v>
      </c>
      <c r="C73" s="14">
        <f>+B73-($E$1/12)</f>
        <v/>
      </c>
      <c r="D73" s="18" t="n">
        <v>0.0569</v>
      </c>
      <c r="E73" s="18" t="n">
        <v>-0.0061</v>
      </c>
      <c r="F73" s="18" t="n">
        <v>0.06279999999999999</v>
      </c>
      <c r="G73" s="18" t="n">
        <v>0.0254</v>
      </c>
      <c r="H73" s="18" t="n">
        <v>0.0317</v>
      </c>
      <c r="I73" s="18" t="n">
        <v>0.038</v>
      </c>
      <c r="J73" s="3" t="n">
        <v>0.0269723506659356</v>
      </c>
      <c r="K73" s="3" t="n">
        <v>0.0784245824747427</v>
      </c>
      <c r="L73" s="3" t="n">
        <v>0.420623005337532</v>
      </c>
      <c r="M73" s="3" t="n">
        <v>0.169348486990557</v>
      </c>
      <c r="N73" s="3" t="n">
        <v>0.0309035467108202</v>
      </c>
      <c r="O73" s="3" t="n">
        <v>0.104132535182671</v>
      </c>
      <c r="P73" s="3" t="n">
        <v>0.06308382267749529</v>
      </c>
      <c r="Q73" s="3" t="n">
        <v>0.1065116699602462</v>
      </c>
      <c r="R73" s="5" t="n">
        <v>0.001082976635990107</v>
      </c>
      <c r="S73" s="5" t="n">
        <v>0.003176667952460077</v>
      </c>
      <c r="T73" s="5" t="n">
        <v>0.001661397033269951</v>
      </c>
      <c r="U73" s="5" t="n">
        <v>0.008200651854969987</v>
      </c>
      <c r="V73" s="5" t="n">
        <v>0.001983797876039972</v>
      </c>
      <c r="W73" s="5" t="n">
        <v>-0.003259145965442967</v>
      </c>
      <c r="X73" s="5" t="n">
        <v>0.0006257620515199847</v>
      </c>
      <c r="Y73" s="5" t="n">
        <v>0</v>
      </c>
      <c r="Z73" s="5">
        <f>+SUM(R73:Y73)</f>
        <v/>
      </c>
      <c r="AA73" s="6">
        <f>+Z73-B73</f>
        <v/>
      </c>
    </row>
    <row r="74">
      <c r="A74" s="1" t="n">
        <v>45838</v>
      </c>
      <c r="B74" s="14" t="n">
        <v>0.02137073916</v>
      </c>
      <c r="C74" s="14">
        <f>+B74-($E$1/12)</f>
        <v/>
      </c>
      <c r="D74" s="18" t="n">
        <v>0.048</v>
      </c>
      <c r="E74" s="18" t="n">
        <v>0.0146</v>
      </c>
      <c r="F74" s="18" t="n">
        <v>0.0514</v>
      </c>
      <c r="G74" s="18" t="n">
        <v>0.0313</v>
      </c>
      <c r="H74" s="18" t="n">
        <v>0.0346</v>
      </c>
      <c r="I74" s="18" t="n">
        <v>0.038</v>
      </c>
      <c r="J74" s="3" t="n">
        <v>0.0343134344446713</v>
      </c>
      <c r="K74" s="3" t="n">
        <v>0.102676418951072</v>
      </c>
      <c r="L74" s="3" t="n">
        <v>0.391826541011634</v>
      </c>
      <c r="M74" s="3" t="n">
        <v>0.21157223459759</v>
      </c>
      <c r="N74" s="3" t="n">
        <v>0.09786476250629959</v>
      </c>
      <c r="O74" s="3" t="n">
        <v>0.0362539066596022</v>
      </c>
      <c r="P74" s="3" t="n">
        <v>0.0697550119472173</v>
      </c>
      <c r="Q74" s="3" t="n">
        <v>0.05573768988191363</v>
      </c>
      <c r="R74" s="3" t="n">
        <v>0.001335024598219992</v>
      </c>
      <c r="S74" s="3" t="n">
        <v>0.007005860677159914</v>
      </c>
      <c r="T74" s="3" t="n">
        <v>0.002473773261969958</v>
      </c>
      <c r="U74" s="3" t="n">
        <v>0.004651835940389981</v>
      </c>
      <c r="V74" s="3" t="n">
        <v>0.00463865492428006</v>
      </c>
      <c r="W74" s="3" t="n">
        <v>0.0003938729967500887</v>
      </c>
      <c r="X74" s="3" t="n">
        <v>0.0005421181029099387</v>
      </c>
      <c r="Y74" s="3" t="n">
        <v>0</v>
      </c>
      <c r="Z74" s="5">
        <f>+SUM(R74:Y74)</f>
        <v/>
      </c>
      <c r="AA74" s="6">
        <f>+Z74-B74</f>
        <v/>
      </c>
    </row>
    <row r="75">
      <c r="A75" s="1" t="n">
        <v>45869</v>
      </c>
      <c r="B75" s="15" t="n">
        <v>0.00222146776</v>
      </c>
      <c r="C75" s="14">
        <f>+B75-($E$1/12)</f>
        <v/>
      </c>
      <c r="D75" s="18" t="n">
        <v>0.0106</v>
      </c>
      <c r="E75" s="18" t="n">
        <v>-0.0026</v>
      </c>
      <c r="F75" s="18" t="n">
        <v>0.023</v>
      </c>
      <c r="G75" s="18" t="n">
        <v>0.004</v>
      </c>
      <c r="H75" s="18" t="n">
        <v>0.0053</v>
      </c>
      <c r="I75" s="18" t="n">
        <v>0.0066</v>
      </c>
      <c r="J75" s="3" t="n">
        <v>0.0874818724660259</v>
      </c>
      <c r="K75" s="3" t="n">
        <v>0.176816049941875</v>
      </c>
      <c r="L75" s="3" t="n">
        <v>0.301421423780576</v>
      </c>
      <c r="M75" s="3" t="n">
        <v>0.205731507981038</v>
      </c>
      <c r="N75" s="3" t="n">
        <v>0.122680174306962</v>
      </c>
      <c r="O75" s="3" t="n">
        <v>0.0370425073375307</v>
      </c>
      <c r="P75" s="3" t="n">
        <v>0.0408509197845757</v>
      </c>
      <c r="Q75" s="3" t="n">
        <v>0.0279755444014168</v>
      </c>
      <c r="R75" s="3" t="n">
        <v>0.00226577179149001</v>
      </c>
      <c r="S75" s="3" t="n">
        <v>0.00105651256134998</v>
      </c>
      <c r="T75" s="3" t="n">
        <v>-0.00101065714856996</v>
      </c>
      <c r="U75" s="3" t="n">
        <v>-0.004330615035258</v>
      </c>
      <c r="V75" s="3" t="n">
        <v>0.00281024864342005</v>
      </c>
      <c r="W75" s="3" t="n">
        <v>-0.000417632357016973</v>
      </c>
      <c r="X75" s="3" t="n">
        <v>0.000254210665459942</v>
      </c>
      <c r="Y75" s="3" t="n">
        <v>0</v>
      </c>
      <c r="Z75" s="16">
        <f>+SUM(R75:Y75)</f>
        <v/>
      </c>
      <c r="AA75" s="16">
        <f>+Z75-B75</f>
        <v/>
      </c>
    </row>
    <row r="76">
      <c r="A76" s="1" t="n">
        <v>45900</v>
      </c>
      <c r="B76" s="5" t="n">
        <v>0.03550888981</v>
      </c>
      <c r="C76" s="17">
        <f>+B76-($E$1/12)</f>
        <v/>
      </c>
      <c r="D76" s="18" t="n">
        <v>0.0268</v>
      </c>
      <c r="E76" s="18" t="n">
        <v>0.0119</v>
      </c>
      <c r="F76" s="18" t="n">
        <v>0.0205</v>
      </c>
      <c r="G76" s="18" t="n">
        <v>0.0193</v>
      </c>
      <c r="H76" s="18" t="n">
        <v>0.0208</v>
      </c>
      <c r="I76" s="18" t="n">
        <v>0.0223</v>
      </c>
      <c r="J76" s="3" t="n">
        <v>0.105548777777676</v>
      </c>
      <c r="K76" s="3" t="n">
        <v>0.207468782642914</v>
      </c>
      <c r="L76" s="3" t="n">
        <v>0.137282827064789</v>
      </c>
      <c r="M76" s="3" t="n">
        <v>0.222491126108551</v>
      </c>
      <c r="N76" s="3" t="n">
        <v>0.247383711730629</v>
      </c>
      <c r="O76" s="3" t="n">
        <v>0.0218294445934706</v>
      </c>
      <c r="P76" s="3" t="n">
        <v>0.0373750740750607</v>
      </c>
      <c r="Q76" s="3" t="n">
        <v>0.0206202560069098</v>
      </c>
      <c r="R76" s="3" t="n">
        <v>-0.000914067277738018</v>
      </c>
      <c r="S76" s="3" t="n">
        <v>0.00581192756658999</v>
      </c>
      <c r="T76" s="3" t="n">
        <v>0.00996446171100995</v>
      </c>
      <c r="U76" s="3" t="n">
        <v>0.0101236624561101</v>
      </c>
      <c r="V76" s="3" t="n">
        <v>0.00715091985373006</v>
      </c>
      <c r="W76" s="3" t="n">
        <v>0.000226263418070083</v>
      </c>
      <c r="X76" s="3" t="n">
        <v>0.00106521745153998</v>
      </c>
      <c r="Y76" s="3" t="n">
        <v>0</v>
      </c>
      <c r="Z76" s="16">
        <f>+SUM(R76:Y76)</f>
        <v/>
      </c>
      <c r="AA76" s="16">
        <f>+Z76-B76</f>
        <v/>
      </c>
    </row>
    <row r="77">
      <c r="A77" s="1" t="n">
        <v>45930</v>
      </c>
      <c r="B77" s="9" t="n">
        <v>0.0481626841</v>
      </c>
      <c r="C77" s="9" t="n">
        <v>0.0475376841</v>
      </c>
      <c r="D77" t="n">
        <v>0.036</v>
      </c>
      <c r="E77" t="n">
        <v>0.0113</v>
      </c>
      <c r="F77" t="n">
        <v>0.0356</v>
      </c>
      <c r="G77" t="n">
        <v>0.0236</v>
      </c>
      <c r="H77" t="n">
        <v>0.0261</v>
      </c>
      <c r="I77" t="n">
        <v>0.0286</v>
      </c>
      <c r="J77" s="5" t="n">
        <v>0.0651807124487392</v>
      </c>
      <c r="K77" s="5" t="n">
        <v>0.1982888360668212</v>
      </c>
      <c r="L77" s="5" t="n">
        <v>0.2041288898953582</v>
      </c>
      <c r="M77" s="5" t="n">
        <v>0.1826953075759127</v>
      </c>
      <c r="N77" s="5" t="n">
        <v>0.2565682363950725</v>
      </c>
      <c r="O77" s="5" t="n">
        <v>0.002975472520775774</v>
      </c>
      <c r="P77" s="5" t="n">
        <v>0.07561675187994532</v>
      </c>
      <c r="Q77" s="5" t="n">
        <v>0.01454579321737484</v>
      </c>
      <c r="R77" s="9" t="n">
        <v>0.003139278063081564</v>
      </c>
      <c r="S77" s="9" t="n">
        <v>0.009550122572042997</v>
      </c>
      <c r="T77" s="9" t="n">
        <v>0.00983139523971382</v>
      </c>
      <c r="U77" s="9" t="n">
        <v>0.008799096385331022</v>
      </c>
      <c r="V77" s="9" t="n">
        <v>0.01235701491959</v>
      </c>
      <c r="W77" s="9" t="n">
        <v>0.0001433067430663543</v>
      </c>
      <c r="X77" s="9" t="n">
        <v>0.003641905733461888</v>
      </c>
      <c r="Y77" s="9" t="n">
        <v>0.0007005644437123472</v>
      </c>
    </row>
    <row r="78">
      <c r="A78" s="1" t="n">
        <v>45961</v>
      </c>
      <c r="B78" s="9" t="n">
        <v>0.01979419261</v>
      </c>
      <c r="C78" s="9" t="n">
        <v>0.01916919261</v>
      </c>
      <c r="D78" t="n">
        <v>0.0229</v>
      </c>
      <c r="E78" t="n">
        <v>0.0061</v>
      </c>
      <c r="F78" t="n">
        <v>0.0238</v>
      </c>
      <c r="G78" t="n">
        <v>0.0145</v>
      </c>
      <c r="H78" t="n">
        <v>0.0162</v>
      </c>
      <c r="I78" t="n">
        <v>0.0179</v>
      </c>
      <c r="J78" s="5" t="n">
        <v>0.07148630162582603</v>
      </c>
      <c r="K78" s="5" t="n">
        <v>0.2648244624642311</v>
      </c>
      <c r="L78" s="5" t="n">
        <v>0.2235158112847011</v>
      </c>
      <c r="M78" s="5" t="n">
        <v>0.1198419145041427</v>
      </c>
      <c r="N78" s="5" t="n">
        <v>0.239233161420474</v>
      </c>
      <c r="O78" s="5" t="n">
        <v>0.03051083404192756</v>
      </c>
      <c r="P78" s="5" t="n">
        <v>0.03129729633057765</v>
      </c>
      <c r="Q78" s="5" t="n">
        <v>0.01929021832811973</v>
      </c>
      <c r="R78" s="9" t="n">
        <v>0.001415013623358157</v>
      </c>
      <c r="S78" s="9" t="n">
        <v>0.005241986417856706</v>
      </c>
      <c r="T78" s="9" t="n">
        <v>0.004424315019949786</v>
      </c>
      <c r="U78" s="9" t="n">
        <v>0.002372173938446154</v>
      </c>
      <c r="V78" s="9" t="n">
        <v>0.004735427275856084</v>
      </c>
      <c r="W78" s="9" t="n">
        <v>0.0006039373257176589</v>
      </c>
      <c r="X78" s="9" t="n">
        <v>0.0006195047117397003</v>
      </c>
      <c r="Y78" s="9" t="n">
        <v>0.0003818342970757541</v>
      </c>
    </row>
    <row r="79">
      <c r="A79" s="20" t="n">
        <v>45991</v>
      </c>
      <c r="B79" s="9" t="n">
        <v>0.00802627084</v>
      </c>
      <c r="C79" s="9" t="n">
        <v>0.007401270840000001</v>
      </c>
      <c r="D79" t="n">
        <v>0.0004</v>
      </c>
      <c r="E79" t="n">
        <v>0.0061</v>
      </c>
      <c r="F79" t="n">
        <v>0.0019</v>
      </c>
      <c r="G79" t="n">
        <v>0.0032</v>
      </c>
      <c r="H79" t="n">
        <v>0.0027</v>
      </c>
      <c r="I79" t="n">
        <v>0.0021</v>
      </c>
      <c r="J79" s="5" t="n">
        <v>0.07315456346995405</v>
      </c>
      <c r="K79" s="5" t="n">
        <v>0.2005009876862606</v>
      </c>
      <c r="L79" s="5" t="n">
        <v>0.1434832796597323</v>
      </c>
      <c r="M79" s="5" t="n">
        <v>0.17277830062959</v>
      </c>
      <c r="N79" s="5" t="n">
        <v>0.2627975414679831</v>
      </c>
      <c r="O79" s="5" t="n">
        <v>0.1392368053897838</v>
      </c>
      <c r="P79" s="5" t="n">
        <v>0</v>
      </c>
      <c r="Q79" s="5" t="n">
        <v>0.008048521696696218</v>
      </c>
      <c r="R79" s="9" t="n">
        <v>0.0005871583395918215</v>
      </c>
      <c r="S79" s="9" t="n">
        <v>0.001609275230857433</v>
      </c>
      <c r="T79" s="9" t="n">
        <v>0.001151635663560475</v>
      </c>
      <c r="U79" s="9" t="n">
        <v>0.001386765436128032</v>
      </c>
      <c r="V79" s="9" t="n">
        <v>0.002109284243908164</v>
      </c>
      <c r="W79" s="9" t="n">
        <v>0.001117552310954776</v>
      </c>
      <c r="X79" s="9" t="n">
        <v>0</v>
      </c>
      <c r="Y79" s="9" t="n">
        <v>6.459961499930018e-05</v>
      </c>
    </row>
  </sheetData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Holpe</dc:creator>
  <dcterms:created xsi:type="dcterms:W3CDTF">2025-09-03T14:34:36Z</dcterms:created>
  <dcterms:modified xsi:type="dcterms:W3CDTF">2025-12-05T01:56:49Z</dcterms:modified>
  <cp:lastModifiedBy>kumawatar@vcu.edu</cp:lastModifiedBy>
</cp:coreProperties>
</file>