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yankix101/Desktop/RQA/"/>
    </mc:Choice>
  </mc:AlternateContent>
  <xr:revisionPtr revIDLastSave="0" documentId="13_ncr:1_{238F6809-0CED-584E-A301-798E5466EA57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G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6" i="1" l="1"/>
  <c r="AA76" i="1" s="1"/>
  <c r="C76" i="1"/>
  <c r="Z75" i="1"/>
  <c r="AA75" i="1" s="1"/>
  <c r="C75" i="1"/>
  <c r="Z74" i="1"/>
  <c r="AA74" i="1" s="1"/>
  <c r="C74" i="1"/>
  <c r="AA73" i="1"/>
  <c r="Z73" i="1"/>
  <c r="C73" i="1"/>
  <c r="Z72" i="1"/>
  <c r="AA72" i="1" s="1"/>
  <c r="C72" i="1"/>
  <c r="Z71" i="1"/>
  <c r="AA71" i="1" s="1"/>
  <c r="C71" i="1"/>
  <c r="Z70" i="1"/>
  <c r="AA70" i="1" s="1"/>
  <c r="C70" i="1"/>
  <c r="Z69" i="1"/>
  <c r="AA69" i="1" s="1"/>
  <c r="C69" i="1"/>
  <c r="AA68" i="1"/>
  <c r="Z68" i="1"/>
  <c r="C68" i="1"/>
  <c r="Z67" i="1"/>
  <c r="AA67" i="1" s="1"/>
  <c r="C67" i="1"/>
  <c r="Z66" i="1"/>
  <c r="AA66" i="1" s="1"/>
  <c r="C66" i="1"/>
  <c r="AA65" i="1"/>
  <c r="Z65" i="1"/>
  <c r="C65" i="1"/>
  <c r="Z64" i="1"/>
  <c r="AA64" i="1" s="1"/>
  <c r="C64" i="1"/>
  <c r="Z63" i="1"/>
  <c r="AA63" i="1" s="1"/>
  <c r="C63" i="1"/>
  <c r="Z62" i="1"/>
  <c r="AA62" i="1" s="1"/>
  <c r="C62" i="1"/>
  <c r="Z61" i="1"/>
  <c r="AA61" i="1" s="1"/>
  <c r="C61" i="1"/>
  <c r="AA60" i="1"/>
  <c r="Z60" i="1"/>
  <c r="C60" i="1"/>
  <c r="Z59" i="1"/>
  <c r="AA59" i="1" s="1"/>
  <c r="C59" i="1"/>
  <c r="Z58" i="1"/>
  <c r="AA58" i="1" s="1"/>
  <c r="C58" i="1"/>
  <c r="AA57" i="1"/>
  <c r="Z57" i="1"/>
  <c r="C57" i="1"/>
  <c r="Z56" i="1"/>
  <c r="AA56" i="1" s="1"/>
  <c r="C56" i="1"/>
  <c r="Z55" i="1"/>
  <c r="AA55" i="1" s="1"/>
  <c r="C55" i="1"/>
  <c r="Z54" i="1"/>
  <c r="AA54" i="1" s="1"/>
  <c r="C54" i="1"/>
  <c r="Z53" i="1"/>
  <c r="AA53" i="1" s="1"/>
  <c r="C53" i="1"/>
  <c r="AA52" i="1"/>
  <c r="Z52" i="1"/>
  <c r="C52" i="1"/>
  <c r="Z51" i="1"/>
  <c r="AA51" i="1" s="1"/>
  <c r="C51" i="1"/>
  <c r="Z50" i="1"/>
  <c r="AA50" i="1" s="1"/>
  <c r="C50" i="1"/>
  <c r="AA49" i="1"/>
  <c r="Z49" i="1"/>
  <c r="C49" i="1"/>
  <c r="Z48" i="1"/>
  <c r="AA48" i="1" s="1"/>
  <c r="C48" i="1"/>
  <c r="Z47" i="1"/>
  <c r="AA47" i="1" s="1"/>
  <c r="C47" i="1"/>
  <c r="Z46" i="1"/>
  <c r="AA46" i="1" s="1"/>
  <c r="C46" i="1"/>
  <c r="Z45" i="1"/>
  <c r="AA45" i="1" s="1"/>
  <c r="C45" i="1"/>
  <c r="AA44" i="1"/>
  <c r="Z44" i="1"/>
  <c r="C44" i="1"/>
  <c r="Z43" i="1"/>
  <c r="AA43" i="1" s="1"/>
  <c r="C43" i="1"/>
  <c r="Z42" i="1"/>
  <c r="AA42" i="1" s="1"/>
  <c r="C42" i="1"/>
  <c r="AA41" i="1"/>
  <c r="Z41" i="1"/>
  <c r="C41" i="1"/>
  <c r="Z40" i="1"/>
  <c r="AA40" i="1" s="1"/>
  <c r="C40" i="1"/>
  <c r="Z39" i="1"/>
  <c r="AA39" i="1" s="1"/>
  <c r="C39" i="1"/>
  <c r="Z38" i="1"/>
  <c r="AA38" i="1" s="1"/>
  <c r="C38" i="1"/>
  <c r="Z37" i="1"/>
  <c r="AA37" i="1" s="1"/>
  <c r="C37" i="1"/>
  <c r="AA36" i="1"/>
  <c r="Z36" i="1"/>
  <c r="C36" i="1"/>
  <c r="Z35" i="1"/>
  <c r="AA35" i="1" s="1"/>
  <c r="C35" i="1"/>
  <c r="Z34" i="1"/>
  <c r="AA34" i="1" s="1"/>
  <c r="C34" i="1"/>
  <c r="AA33" i="1"/>
  <c r="Z33" i="1"/>
  <c r="C33" i="1"/>
  <c r="Z32" i="1"/>
  <c r="AA32" i="1" s="1"/>
  <c r="C32" i="1"/>
  <c r="Z31" i="1"/>
  <c r="AA31" i="1" s="1"/>
  <c r="C31" i="1"/>
  <c r="Z30" i="1"/>
  <c r="AA30" i="1" s="1"/>
  <c r="C30" i="1"/>
  <c r="Z29" i="1"/>
  <c r="AA29" i="1" s="1"/>
  <c r="C29" i="1"/>
  <c r="AA28" i="1"/>
  <c r="Z28" i="1"/>
  <c r="C28" i="1"/>
  <c r="Z27" i="1"/>
  <c r="AA27" i="1" s="1"/>
  <c r="C27" i="1"/>
  <c r="Z26" i="1"/>
  <c r="AA26" i="1" s="1"/>
  <c r="C26" i="1"/>
  <c r="AA25" i="1"/>
  <c r="Z25" i="1"/>
  <c r="C25" i="1"/>
  <c r="Z24" i="1"/>
  <c r="AA24" i="1" s="1"/>
  <c r="C24" i="1"/>
  <c r="Z23" i="1"/>
  <c r="AA23" i="1" s="1"/>
  <c r="C23" i="1"/>
  <c r="Z22" i="1"/>
  <c r="AA22" i="1" s="1"/>
  <c r="C22" i="1"/>
  <c r="Z21" i="1"/>
  <c r="AA21" i="1" s="1"/>
  <c r="C21" i="1"/>
  <c r="AA20" i="1"/>
  <c r="Z20" i="1"/>
  <c r="C20" i="1"/>
  <c r="Z19" i="1"/>
  <c r="AA19" i="1" s="1"/>
  <c r="C19" i="1"/>
  <c r="Z18" i="1"/>
  <c r="AA18" i="1" s="1"/>
  <c r="C18" i="1"/>
  <c r="AA17" i="1"/>
  <c r="Z17" i="1"/>
  <c r="C17" i="1"/>
  <c r="Z16" i="1"/>
  <c r="AA16" i="1" s="1"/>
  <c r="C16" i="1"/>
  <c r="Z15" i="1"/>
  <c r="AA15" i="1" s="1"/>
  <c r="C15" i="1"/>
  <c r="Z14" i="1"/>
  <c r="AA14" i="1" s="1"/>
  <c r="C14" i="1"/>
  <c r="Z13" i="1"/>
  <c r="AA13" i="1" s="1"/>
  <c r="C13" i="1"/>
  <c r="AA12" i="1"/>
  <c r="Z12" i="1"/>
  <c r="C12" i="1"/>
  <c r="Z11" i="1"/>
  <c r="AA11" i="1" s="1"/>
  <c r="C11" i="1"/>
  <c r="Z10" i="1"/>
  <c r="AA10" i="1" s="1"/>
  <c r="C10" i="1"/>
  <c r="AA9" i="1"/>
  <c r="Z9" i="1"/>
  <c r="C9" i="1"/>
  <c r="Z8" i="1"/>
  <c r="AA8" i="1" s="1"/>
  <c r="C8" i="1"/>
  <c r="Z7" i="1"/>
  <c r="AA7" i="1" s="1"/>
  <c r="C7" i="1"/>
  <c r="Z6" i="1"/>
  <c r="AA6" i="1" s="1"/>
  <c r="C6" i="1"/>
  <c r="Z5" i="1"/>
  <c r="AA5" i="1" s="1"/>
  <c r="C5" i="1"/>
  <c r="AA4" i="1"/>
  <c r="Z4" i="1"/>
  <c r="C4" i="1"/>
  <c r="AJ3" i="1"/>
  <c r="Z3" i="1"/>
  <c r="AA3" i="1" s="1"/>
  <c r="C3" i="1"/>
</calcChain>
</file>

<file path=xl/sharedStrings.xml><?xml version="1.0" encoding="utf-8"?>
<sst xmlns="http://schemas.openxmlformats.org/spreadsheetml/2006/main" count="42" uniqueCount="30">
  <si>
    <t xml:space="preserve">Return </t>
  </si>
  <si>
    <t xml:space="preserve">Fee </t>
  </si>
  <si>
    <t xml:space="preserve">Holding Summary </t>
  </si>
  <si>
    <t xml:space="preserve">Attribution </t>
  </si>
  <si>
    <t xml:space="preserve">Check </t>
  </si>
  <si>
    <t>Calculations</t>
  </si>
  <si>
    <t>GAM Returns (Gross)</t>
  </si>
  <si>
    <t>GAM Returns (Net)</t>
  </si>
  <si>
    <t>ACWI</t>
  </si>
  <si>
    <t>AGG</t>
  </si>
  <si>
    <t>SPY</t>
  </si>
  <si>
    <t>50/50</t>
  </si>
  <si>
    <t>60/40</t>
  </si>
  <si>
    <t>70/30</t>
  </si>
  <si>
    <t>PDBC</t>
  </si>
  <si>
    <t>VWO</t>
  </si>
  <si>
    <t>IAU</t>
  </si>
  <si>
    <t>VEA</t>
  </si>
  <si>
    <t>SPTL</t>
  </si>
  <si>
    <t>VNQ</t>
  </si>
  <si>
    <t>USFR</t>
  </si>
  <si>
    <t xml:space="preserve">Year To Date </t>
  </si>
  <si>
    <t xml:space="preserve">1-Year </t>
  </si>
  <si>
    <t>3-Year</t>
  </si>
  <si>
    <t>5-Year</t>
  </si>
  <si>
    <t xml:space="preserve">Since Inception </t>
  </si>
  <si>
    <t xml:space="preserve">Standard Deviation </t>
  </si>
  <si>
    <t>Sharpe (RF=0)</t>
  </si>
  <si>
    <t>Beta (S&amp;P 500)</t>
  </si>
  <si>
    <t>GAM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</si>
</sst>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9">
    <xf numFmtId="0" fontId="0" fillId="0" borderId="0" xfId="0"/>
    <xf numFmtId="14" fontId="0" fillId="0" borderId="0" xfId="0" applyNumberFormat="1"/>
    <xf numFmtId="0" fontId="0" fillId="2" borderId="0" xfId="0" applyFill="1"/>
    <xf numFmtId="9" fontId="0" fillId="0" borderId="0" xfId="2" applyFont="1"/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0" fontId="0" fillId="3" borderId="0" xfId="0" applyFill="1"/>
    <xf numFmtId="0" fontId="3" fillId="4" borderId="0" xfId="0" applyFont="1" applyFill="1"/>
    <xf numFmtId="10" fontId="0" fillId="0" borderId="0" xfId="0" applyNumberFormat="1"/>
    <xf numFmtId="0" fontId="0" fillId="5" borderId="0" xfId="0" applyFill="1"/>
    <xf numFmtId="164" fontId="0" fillId="0" borderId="0" xfId="2" applyNumberFormat="1" applyFont="1"/>
    <xf numFmtId="0" fontId="0" fillId="6" borderId="0" xfId="0" applyFill="1"/>
    <xf numFmtId="10" fontId="4" fillId="0" borderId="0" xfId="0" applyNumberFormat="1" applyFont="1"/>
    <xf numFmtId="43" fontId="0" fillId="0" borderId="0" xfId="0" applyNumberFormat="1"/>
    <xf numFmtId="9" fontId="0" fillId="0" borderId="0" xfId="1" applyNumberFormat="1" applyFont="1"/>
    <xf numFmtId="164" fontId="0" fillId="0" borderId="0" xfId="1" applyNumberFormat="1" applyFont="1"/>
    <xf numFmtId="10" fontId="0" fillId="0" borderId="0" xfId="2" applyNumberFormat="1" applyFont="1"/>
    <xf numFmtId="10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GAM!$J$2</c:f>
              <c:strCache>
                <c:ptCount val="1"/>
                <c:pt idx="0">
                  <c:v>PDBC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GAM!$J$3:$J$75</c:f>
              <c:numCache>
                <c:formatCode>0%</c:formatCode>
                <c:ptCount val="73"/>
                <c:pt idx="0" formatCode="0.00%">
                  <c:v>7.7220826935232396E-3</c:v>
                </c:pt>
                <c:pt idx="1">
                  <c:v>1.1759478708912099E-2</c:v>
                </c:pt>
                <c:pt idx="2">
                  <c:v>6.78146725660966E-3</c:v>
                </c:pt>
                <c:pt idx="3">
                  <c:v>8.9340105964287007E-3</c:v>
                </c:pt>
                <c:pt idx="4">
                  <c:v>1.00698995261841E-2</c:v>
                </c:pt>
                <c:pt idx="5">
                  <c:v>2.3350985985328601E-2</c:v>
                </c:pt>
                <c:pt idx="6">
                  <c:v>7.2556317028528799E-2</c:v>
                </c:pt>
                <c:pt idx="7">
                  <c:v>0</c:v>
                </c:pt>
                <c:pt idx="8">
                  <c:v>0</c:v>
                </c:pt>
                <c:pt idx="9">
                  <c:v>2.54346007560778E-3</c:v>
                </c:pt>
                <c:pt idx="10">
                  <c:v>0</c:v>
                </c:pt>
                <c:pt idx="11">
                  <c:v>4.0093537753455397E-3</c:v>
                </c:pt>
                <c:pt idx="12">
                  <c:v>3.4942947045932898E-2</c:v>
                </c:pt>
                <c:pt idx="13">
                  <c:v>3.8971274895051401E-2</c:v>
                </c:pt>
                <c:pt idx="14">
                  <c:v>0.114581917645374</c:v>
                </c:pt>
                <c:pt idx="15">
                  <c:v>8.9334024963611994E-2</c:v>
                </c:pt>
                <c:pt idx="16">
                  <c:v>7.8695406261051995E-2</c:v>
                </c:pt>
                <c:pt idx="17">
                  <c:v>0.132122493555971</c:v>
                </c:pt>
                <c:pt idx="18">
                  <c:v>0.21489034728742801</c:v>
                </c:pt>
                <c:pt idx="19">
                  <c:v>0.33543831041753902</c:v>
                </c:pt>
                <c:pt idx="20">
                  <c:v>0.35318023210235899</c:v>
                </c:pt>
                <c:pt idx="21">
                  <c:v>0.207519539505122</c:v>
                </c:pt>
                <c:pt idx="22">
                  <c:v>0.18338540276222001</c:v>
                </c:pt>
                <c:pt idx="23">
                  <c:v>0.182249653484202</c:v>
                </c:pt>
                <c:pt idx="24">
                  <c:v>0.26302948434636803</c:v>
                </c:pt>
                <c:pt idx="25">
                  <c:v>0.19671186523984899</c:v>
                </c:pt>
                <c:pt idx="26">
                  <c:v>9.9878851189648094E-2</c:v>
                </c:pt>
                <c:pt idx="27">
                  <c:v>0.17067897927617101</c:v>
                </c:pt>
                <c:pt idx="28">
                  <c:v>0.18877570891721099</c:v>
                </c:pt>
                <c:pt idx="29">
                  <c:v>0.11663844076909401</c:v>
                </c:pt>
                <c:pt idx="30">
                  <c:v>0.12277390279506301</c:v>
                </c:pt>
                <c:pt idx="31">
                  <c:v>0.19625752129123</c:v>
                </c:pt>
                <c:pt idx="32">
                  <c:v>0.25315881906093601</c:v>
                </c:pt>
                <c:pt idx="33">
                  <c:v>0.122842605180162</c:v>
                </c:pt>
                <c:pt idx="34">
                  <c:v>0.117960669154869</c:v>
                </c:pt>
                <c:pt idx="35">
                  <c:v>0.126942350724113</c:v>
                </c:pt>
                <c:pt idx="36">
                  <c:v>0.193024200557051</c:v>
                </c:pt>
                <c:pt idx="37">
                  <c:v>0.16905505751096001</c:v>
                </c:pt>
                <c:pt idx="38">
                  <c:v>0.16250649564696501</c:v>
                </c:pt>
                <c:pt idx="39">
                  <c:v>0.173769312988131</c:v>
                </c:pt>
                <c:pt idx="40">
                  <c:v>0.30682831785515402</c:v>
                </c:pt>
                <c:pt idx="41">
                  <c:v>0.199171759442583</c:v>
                </c:pt>
                <c:pt idx="42">
                  <c:v>0.178676602818793</c:v>
                </c:pt>
                <c:pt idx="43">
                  <c:v>7.7889249749614295E-2</c:v>
                </c:pt>
                <c:pt idx="44">
                  <c:v>4.6456885628683997E-2</c:v>
                </c:pt>
                <c:pt idx="45">
                  <c:v>2.1518213336528199E-2</c:v>
                </c:pt>
                <c:pt idx="46">
                  <c:v>8.7833758672423295E-3</c:v>
                </c:pt>
                <c:pt idx="47">
                  <c:v>1.2956789374987999E-3</c:v>
                </c:pt>
                <c:pt idx="48">
                  <c:v>3.2064613542309999E-3</c:v>
                </c:pt>
                <c:pt idx="49">
                  <c:v>7.3214409333078698E-2</c:v>
                </c:pt>
                <c:pt idx="50">
                  <c:v>0.15518666713045601</c:v>
                </c:pt>
                <c:pt idx="51">
                  <c:v>0.294024796093663</c:v>
                </c:pt>
                <c:pt idx="52">
                  <c:v>0.18038336294885501</c:v>
                </c:pt>
                <c:pt idx="53">
                  <c:v>6.2624399702631395E-2</c:v>
                </c:pt>
                <c:pt idx="54">
                  <c:v>7.8229558631137605E-3</c:v>
                </c:pt>
                <c:pt idx="55">
                  <c:v>2.65432417834085E-2</c:v>
                </c:pt>
                <c:pt idx="56">
                  <c:v>3.2669745987773002E-2</c:v>
                </c:pt>
                <c:pt idx="57">
                  <c:v>5.7008408875378898E-2</c:v>
                </c:pt>
                <c:pt idx="58">
                  <c:v>0.16481770187525199</c:v>
                </c:pt>
                <c:pt idx="59">
                  <c:v>9.7557642716718504E-2</c:v>
                </c:pt>
                <c:pt idx="60">
                  <c:v>5.4855104888892003E-2</c:v>
                </c:pt>
                <c:pt idx="61">
                  <c:v>6.5183025277732298E-3</c:v>
                </c:pt>
                <c:pt idx="62">
                  <c:v>2.5491524477426002E-3</c:v>
                </c:pt>
                <c:pt idx="63">
                  <c:v>0</c:v>
                </c:pt>
                <c:pt idx="64">
                  <c:v>2.6538706876950601E-2</c:v>
                </c:pt>
                <c:pt idx="65">
                  <c:v>1.2244219964747101E-2</c:v>
                </c:pt>
                <c:pt idx="66">
                  <c:v>6.9489134662695004E-2</c:v>
                </c:pt>
                <c:pt idx="67">
                  <c:v>0.131237448340768</c:v>
                </c:pt>
                <c:pt idx="68">
                  <c:v>8.27835595561114E-2</c:v>
                </c:pt>
                <c:pt idx="69">
                  <c:v>0.18236241277425799</c:v>
                </c:pt>
                <c:pt idx="70">
                  <c:v>2.6972350665935601E-2</c:v>
                </c:pt>
                <c:pt idx="71">
                  <c:v>3.4313434444671297E-2</c:v>
                </c:pt>
                <c:pt idx="72">
                  <c:v>8.7481872466025901E-2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E-D343-A2DE-1AE0082180EC}"/>
            </c:ext>
          </c:extLst>
        </c:ser>
        <c:ser>
          <c:idx val="1"/>
          <c:order val="1"/>
          <c:tx>
            <c:strRef>
              <c:f>GAM!$K$2</c:f>
              <c:strCache>
                <c:ptCount val="1"/>
                <c:pt idx="0">
                  <c:v>VWO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GAM!$K$3:$K$75</c:f>
              <c:numCache>
                <c:formatCode>0%</c:formatCode>
                <c:ptCount val="73"/>
                <c:pt idx="0" formatCode="0.00%">
                  <c:v>2.5894666739779401E-2</c:v>
                </c:pt>
                <c:pt idx="1">
                  <c:v>2.4730059137089099E-2</c:v>
                </c:pt>
                <c:pt idx="2">
                  <c:v>2.5951229564220999E-2</c:v>
                </c:pt>
                <c:pt idx="3">
                  <c:v>1.44439107240839E-2</c:v>
                </c:pt>
                <c:pt idx="4">
                  <c:v>5.4685373970065898E-2</c:v>
                </c:pt>
                <c:pt idx="5">
                  <c:v>8.7434156071111199E-2</c:v>
                </c:pt>
                <c:pt idx="6">
                  <c:v>0.12623578489416301</c:v>
                </c:pt>
                <c:pt idx="7">
                  <c:v>4.1043724675995298E-2</c:v>
                </c:pt>
                <c:pt idx="8">
                  <c:v>3.1605455576283997E-2</c:v>
                </c:pt>
                <c:pt idx="9">
                  <c:v>2.6244073649618501E-2</c:v>
                </c:pt>
                <c:pt idx="10">
                  <c:v>2.6568275702370501E-2</c:v>
                </c:pt>
                <c:pt idx="11">
                  <c:v>2.6783705231341201E-2</c:v>
                </c:pt>
                <c:pt idx="12">
                  <c:v>6.9358282860013498E-2</c:v>
                </c:pt>
                <c:pt idx="13">
                  <c:v>6.1630575587764601E-2</c:v>
                </c:pt>
                <c:pt idx="14">
                  <c:v>0.104460997781396</c:v>
                </c:pt>
                <c:pt idx="15">
                  <c:v>0.123495931272374</c:v>
                </c:pt>
                <c:pt idx="16">
                  <c:v>0.19927628952847101</c:v>
                </c:pt>
                <c:pt idx="17">
                  <c:v>0.245410215933034</c:v>
                </c:pt>
                <c:pt idx="18">
                  <c:v>0.232435322877697</c:v>
                </c:pt>
                <c:pt idx="19">
                  <c:v>0.17705832341389399</c:v>
                </c:pt>
                <c:pt idx="20">
                  <c:v>0.12387633216782599</c:v>
                </c:pt>
                <c:pt idx="21">
                  <c:v>0.112546890222867</c:v>
                </c:pt>
                <c:pt idx="22">
                  <c:v>8.8667378633400698E-2</c:v>
                </c:pt>
                <c:pt idx="23">
                  <c:v>8.4741295905381805E-2</c:v>
                </c:pt>
                <c:pt idx="24">
                  <c:v>9.2669795195631496E-2</c:v>
                </c:pt>
                <c:pt idx="25">
                  <c:v>4.5505445775986003E-2</c:v>
                </c:pt>
                <c:pt idx="26">
                  <c:v>3.7465296956512101E-2</c:v>
                </c:pt>
                <c:pt idx="27">
                  <c:v>5.0038440829245599E-2</c:v>
                </c:pt>
                <c:pt idx="28">
                  <c:v>2.2911408672984301E-2</c:v>
                </c:pt>
                <c:pt idx="29">
                  <c:v>9.8552233837072897E-3</c:v>
                </c:pt>
                <c:pt idx="30">
                  <c:v>7.8769263727483992E-3</c:v>
                </c:pt>
                <c:pt idx="31">
                  <c:v>2.01471881819568E-2</c:v>
                </c:pt>
                <c:pt idx="32">
                  <c:v>2.5669390458756901E-2</c:v>
                </c:pt>
                <c:pt idx="33">
                  <c:v>8.5358927067885493E-3</c:v>
                </c:pt>
                <c:pt idx="34">
                  <c:v>1.4463692059127399E-2</c:v>
                </c:pt>
                <c:pt idx="35">
                  <c:v>2.8134832824093001E-2</c:v>
                </c:pt>
                <c:pt idx="36">
                  <c:v>5.2838460245375599E-2</c:v>
                </c:pt>
                <c:pt idx="37">
                  <c:v>2.1991586457070202E-2</c:v>
                </c:pt>
                <c:pt idx="38">
                  <c:v>0.101326531920105</c:v>
                </c:pt>
                <c:pt idx="39">
                  <c:v>3.20295878243076E-2</c:v>
                </c:pt>
                <c:pt idx="40">
                  <c:v>3.1981541452156599E-2</c:v>
                </c:pt>
                <c:pt idx="41">
                  <c:v>0.109511686143464</c:v>
                </c:pt>
                <c:pt idx="42">
                  <c:v>0.10428196363274</c:v>
                </c:pt>
                <c:pt idx="43">
                  <c:v>0.12366221129982399</c:v>
                </c:pt>
                <c:pt idx="44">
                  <c:v>6.8611400961298599E-2</c:v>
                </c:pt>
                <c:pt idx="45">
                  <c:v>0.120819100890492</c:v>
                </c:pt>
                <c:pt idx="46">
                  <c:v>0.111714951243678</c:v>
                </c:pt>
                <c:pt idx="47">
                  <c:v>6.7632774674809604E-2</c:v>
                </c:pt>
                <c:pt idx="48">
                  <c:v>0.102105808210278</c:v>
                </c:pt>
                <c:pt idx="49">
                  <c:v>0.111138618800289</c:v>
                </c:pt>
                <c:pt idx="50">
                  <c:v>3.9228688407481102E-2</c:v>
                </c:pt>
                <c:pt idx="51">
                  <c:v>6.1394012541593102E-2</c:v>
                </c:pt>
                <c:pt idx="52">
                  <c:v>5.4294472316092197E-2</c:v>
                </c:pt>
                <c:pt idx="53">
                  <c:v>9.8501293372130302E-2</c:v>
                </c:pt>
                <c:pt idx="54">
                  <c:v>5.1168481158752097E-2</c:v>
                </c:pt>
                <c:pt idx="55">
                  <c:v>2.57038196721193E-2</c:v>
                </c:pt>
                <c:pt idx="56">
                  <c:v>7.7770463574899404E-2</c:v>
                </c:pt>
                <c:pt idx="57">
                  <c:v>7.2914419219436893E-2</c:v>
                </c:pt>
                <c:pt idx="58">
                  <c:v>0.103517853979827</c:v>
                </c:pt>
                <c:pt idx="59">
                  <c:v>0.12441423977095099</c:v>
                </c:pt>
                <c:pt idx="60">
                  <c:v>0.16149204711523901</c:v>
                </c:pt>
                <c:pt idx="61">
                  <c:v>8.1256277099924501E-2</c:v>
                </c:pt>
                <c:pt idx="62">
                  <c:v>4.4851921682659703E-2</c:v>
                </c:pt>
                <c:pt idx="63">
                  <c:v>6.3665952237326101E-2</c:v>
                </c:pt>
                <c:pt idx="64">
                  <c:v>8.93251242765674E-2</c:v>
                </c:pt>
                <c:pt idx="65">
                  <c:v>4.6093867450555402E-2</c:v>
                </c:pt>
                <c:pt idx="66">
                  <c:v>8.3749459156704606E-2</c:v>
                </c:pt>
                <c:pt idx="67">
                  <c:v>6.4678258588434304E-2</c:v>
                </c:pt>
                <c:pt idx="68">
                  <c:v>6.6007586724185399E-2</c:v>
                </c:pt>
                <c:pt idx="69">
                  <c:v>8.0074039382723394E-2</c:v>
                </c:pt>
                <c:pt idx="70">
                  <c:v>7.8424582474742696E-2</c:v>
                </c:pt>
                <c:pt idx="71">
                  <c:v>0.102676418951072</c:v>
                </c:pt>
                <c:pt idx="72">
                  <c:v>0.176816049941875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7E-D343-A2DE-1AE0082180EC}"/>
            </c:ext>
          </c:extLst>
        </c:ser>
        <c:ser>
          <c:idx val="2"/>
          <c:order val="2"/>
          <c:tx>
            <c:strRef>
              <c:f>GAM!$L$2</c:f>
              <c:strCache>
                <c:ptCount val="1"/>
                <c:pt idx="0">
                  <c:v>IAU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GAM!$L$3:$L$75</c:f>
              <c:numCache>
                <c:formatCode>0%</c:formatCode>
                <c:ptCount val="73"/>
                <c:pt idx="0" formatCode="0.00%">
                  <c:v>0.28150230848968499</c:v>
                </c:pt>
                <c:pt idx="1">
                  <c:v>0.17687103702336801</c:v>
                </c:pt>
                <c:pt idx="2">
                  <c:v>0.230644368035894</c:v>
                </c:pt>
                <c:pt idx="3">
                  <c:v>0.196531365155583</c:v>
                </c:pt>
                <c:pt idx="4">
                  <c:v>0.22293077636838399</c:v>
                </c:pt>
                <c:pt idx="5">
                  <c:v>0.105683465778943</c:v>
                </c:pt>
                <c:pt idx="6">
                  <c:v>0.194736743943351</c:v>
                </c:pt>
                <c:pt idx="7">
                  <c:v>0.292652207414063</c:v>
                </c:pt>
                <c:pt idx="8">
                  <c:v>0.40938268304001901</c:v>
                </c:pt>
                <c:pt idx="9">
                  <c:v>0.58251648733356098</c:v>
                </c:pt>
                <c:pt idx="10">
                  <c:v>0.56025722306131798</c:v>
                </c:pt>
                <c:pt idx="11">
                  <c:v>0.56837875812057803</c:v>
                </c:pt>
                <c:pt idx="12">
                  <c:v>0.39092355181347999</c:v>
                </c:pt>
                <c:pt idx="13">
                  <c:v>0.46012649677086098</c:v>
                </c:pt>
                <c:pt idx="14">
                  <c:v>0.221693332709791</c:v>
                </c:pt>
                <c:pt idx="15">
                  <c:v>0.153592958801544</c:v>
                </c:pt>
                <c:pt idx="16">
                  <c:v>0.18166196958487699</c:v>
                </c:pt>
                <c:pt idx="17">
                  <c:v>0.16281491745450399</c:v>
                </c:pt>
                <c:pt idx="18">
                  <c:v>0.15085989010591999</c:v>
                </c:pt>
                <c:pt idx="19">
                  <c:v>0.12212447803908601</c:v>
                </c:pt>
                <c:pt idx="20">
                  <c:v>5.85445428404495E-2</c:v>
                </c:pt>
                <c:pt idx="21">
                  <c:v>5.2924856788299598E-2</c:v>
                </c:pt>
                <c:pt idx="22">
                  <c:v>5.9441084636581099E-2</c:v>
                </c:pt>
                <c:pt idx="23">
                  <c:v>0.138879686453762</c:v>
                </c:pt>
                <c:pt idx="24">
                  <c:v>2.9447285980049701E-2</c:v>
                </c:pt>
                <c:pt idx="25">
                  <c:v>4.9007045297260798E-2</c:v>
                </c:pt>
                <c:pt idx="26">
                  <c:v>4.46563495969068E-2</c:v>
                </c:pt>
                <c:pt idx="27">
                  <c:v>5.86063316253123E-2</c:v>
                </c:pt>
                <c:pt idx="28">
                  <c:v>3.04623919341829E-2</c:v>
                </c:pt>
                <c:pt idx="29">
                  <c:v>0.101177127309972</c:v>
                </c:pt>
                <c:pt idx="30">
                  <c:v>0.20069464020759401</c:v>
                </c:pt>
                <c:pt idx="31">
                  <c:v>0.29410405081824698</c:v>
                </c:pt>
                <c:pt idx="32">
                  <c:v>0.387337236481273</c:v>
                </c:pt>
                <c:pt idx="33">
                  <c:v>0.37147420265546799</c:v>
                </c:pt>
                <c:pt idx="34">
                  <c:v>0.43003580517129297</c:v>
                </c:pt>
                <c:pt idx="35">
                  <c:v>0.43584313462491098</c:v>
                </c:pt>
                <c:pt idx="36">
                  <c:v>0.53736494409825897</c:v>
                </c:pt>
                <c:pt idx="37">
                  <c:v>0.35449332246091098</c:v>
                </c:pt>
                <c:pt idx="38">
                  <c:v>0.31400440459057899</c:v>
                </c:pt>
                <c:pt idx="39">
                  <c:v>0.39158349601861703</c:v>
                </c:pt>
                <c:pt idx="40">
                  <c:v>0.29664184044880998</c:v>
                </c:pt>
                <c:pt idx="41">
                  <c:v>0.30432474285474398</c:v>
                </c:pt>
                <c:pt idx="42">
                  <c:v>0.391012773210132</c:v>
                </c:pt>
                <c:pt idx="43">
                  <c:v>0.39647896523528398</c:v>
                </c:pt>
                <c:pt idx="44">
                  <c:v>0.27251450764359803</c:v>
                </c:pt>
                <c:pt idx="45">
                  <c:v>0.31114606410533202</c:v>
                </c:pt>
                <c:pt idx="46">
                  <c:v>0.280106365270261</c:v>
                </c:pt>
                <c:pt idx="47">
                  <c:v>0.27764494494898201</c:v>
                </c:pt>
                <c:pt idx="48">
                  <c:v>0.19183770791385801</c:v>
                </c:pt>
                <c:pt idx="49">
                  <c:v>0.213600921083757</c:v>
                </c:pt>
                <c:pt idx="50">
                  <c:v>0.216992796640706</c:v>
                </c:pt>
                <c:pt idx="51">
                  <c:v>0.12953045621003401</c:v>
                </c:pt>
                <c:pt idx="52">
                  <c:v>0.29740911417780103</c:v>
                </c:pt>
                <c:pt idx="53">
                  <c:v>0.35055372280993002</c:v>
                </c:pt>
                <c:pt idx="54">
                  <c:v>0.229297035809785</c:v>
                </c:pt>
                <c:pt idx="55">
                  <c:v>0.21382409976125499</c:v>
                </c:pt>
                <c:pt idx="56">
                  <c:v>0.11764247675805301</c:v>
                </c:pt>
                <c:pt idx="57">
                  <c:v>0.259144811178111</c:v>
                </c:pt>
                <c:pt idx="58">
                  <c:v>0.24995981406003701</c:v>
                </c:pt>
                <c:pt idx="59">
                  <c:v>0.20944560048722299</c:v>
                </c:pt>
                <c:pt idx="60">
                  <c:v>0.16353500569287399</c:v>
                </c:pt>
                <c:pt idx="61">
                  <c:v>0.17910682298974001</c:v>
                </c:pt>
                <c:pt idx="62">
                  <c:v>0.23264224657743801</c:v>
                </c:pt>
                <c:pt idx="63">
                  <c:v>0.29528271818210999</c:v>
                </c:pt>
                <c:pt idx="64">
                  <c:v>0.37043381955642801</c:v>
                </c:pt>
                <c:pt idx="65">
                  <c:v>0.200534867946944</c:v>
                </c:pt>
                <c:pt idx="66">
                  <c:v>0.213883766077201</c:v>
                </c:pt>
                <c:pt idx="67">
                  <c:v>0.23542841910135201</c:v>
                </c:pt>
                <c:pt idx="68">
                  <c:v>0.29947072972798999</c:v>
                </c:pt>
                <c:pt idx="69">
                  <c:v>0.31274020160988403</c:v>
                </c:pt>
                <c:pt idx="70">
                  <c:v>0.420623005337532</c:v>
                </c:pt>
                <c:pt idx="71">
                  <c:v>0.391826541011634</c:v>
                </c:pt>
                <c:pt idx="72">
                  <c:v>0.30142142378057601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7E-D343-A2DE-1AE0082180EC}"/>
            </c:ext>
          </c:extLst>
        </c:ser>
        <c:ser>
          <c:idx val="3"/>
          <c:order val="3"/>
          <c:tx>
            <c:strRef>
              <c:f>GAM!$M$2</c:f>
              <c:strCache>
                <c:ptCount val="1"/>
                <c:pt idx="0">
                  <c:v>VEA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val>
            <c:numRef>
              <c:f>GAM!$M$3:$M$75</c:f>
              <c:numCache>
                <c:formatCode>0%</c:formatCode>
                <c:ptCount val="73"/>
                <c:pt idx="0" formatCode="0.00%">
                  <c:v>7.5984343997130999E-2</c:v>
                </c:pt>
                <c:pt idx="1">
                  <c:v>5.5212716816648501E-2</c:v>
                </c:pt>
                <c:pt idx="2">
                  <c:v>5.7939654505171898E-2</c:v>
                </c:pt>
                <c:pt idx="3">
                  <c:v>8.1345143855003493E-2</c:v>
                </c:pt>
                <c:pt idx="4">
                  <c:v>9.2188162074638397E-2</c:v>
                </c:pt>
                <c:pt idx="5">
                  <c:v>0.181839815869213</c:v>
                </c:pt>
                <c:pt idx="6">
                  <c:v>0.1344034524627</c:v>
                </c:pt>
                <c:pt idx="7">
                  <c:v>9.6010185078184304E-2</c:v>
                </c:pt>
                <c:pt idx="8">
                  <c:v>2.2712153260842902E-2</c:v>
                </c:pt>
                <c:pt idx="9">
                  <c:v>1.9845641861515301E-2</c:v>
                </c:pt>
                <c:pt idx="10">
                  <c:v>2.24149256954875E-2</c:v>
                </c:pt>
                <c:pt idx="11">
                  <c:v>3.6706550390210702E-2</c:v>
                </c:pt>
                <c:pt idx="12">
                  <c:v>3.1691134825778698E-2</c:v>
                </c:pt>
                <c:pt idx="13">
                  <c:v>2.24991487193359E-2</c:v>
                </c:pt>
                <c:pt idx="14">
                  <c:v>3.9131149251582197E-2</c:v>
                </c:pt>
                <c:pt idx="15">
                  <c:v>6.9658659417066601E-2</c:v>
                </c:pt>
                <c:pt idx="16">
                  <c:v>5.5511468785235003E-2</c:v>
                </c:pt>
                <c:pt idx="17">
                  <c:v>9.5741396726067907E-2</c:v>
                </c:pt>
                <c:pt idx="18">
                  <c:v>0.114226777956842</c:v>
                </c:pt>
                <c:pt idx="19">
                  <c:v>0.112435558187643</c:v>
                </c:pt>
                <c:pt idx="20">
                  <c:v>0.127967750225121</c:v>
                </c:pt>
                <c:pt idx="21">
                  <c:v>0.20656038946920999</c:v>
                </c:pt>
                <c:pt idx="22">
                  <c:v>0.161334306502571</c:v>
                </c:pt>
                <c:pt idx="23">
                  <c:v>0.18046538786633301</c:v>
                </c:pt>
                <c:pt idx="24">
                  <c:v>9.6035990418359696E-2</c:v>
                </c:pt>
                <c:pt idx="25">
                  <c:v>7.6610692422616394E-2</c:v>
                </c:pt>
                <c:pt idx="26">
                  <c:v>9.0495630331559496E-2</c:v>
                </c:pt>
                <c:pt idx="27">
                  <c:v>0.103718001603538</c:v>
                </c:pt>
                <c:pt idx="28">
                  <c:v>0.103498721526527</c:v>
                </c:pt>
                <c:pt idx="29">
                  <c:v>6.4873148174689102E-2</c:v>
                </c:pt>
                <c:pt idx="30">
                  <c:v>8.2789157293480201E-2</c:v>
                </c:pt>
                <c:pt idx="31">
                  <c:v>5.6946077631491898E-2</c:v>
                </c:pt>
                <c:pt idx="32">
                  <c:v>4.01276561114918E-2</c:v>
                </c:pt>
                <c:pt idx="33">
                  <c:v>8.5947421399275706E-2</c:v>
                </c:pt>
                <c:pt idx="34">
                  <c:v>9.2890957456835496E-2</c:v>
                </c:pt>
                <c:pt idx="35">
                  <c:v>9.3305509072945103E-2</c:v>
                </c:pt>
                <c:pt idx="36">
                  <c:v>3.4151911150364797E-2</c:v>
                </c:pt>
                <c:pt idx="37">
                  <c:v>6.5634503298250005E-2</c:v>
                </c:pt>
                <c:pt idx="38">
                  <c:v>4.65715067130286E-2</c:v>
                </c:pt>
                <c:pt idx="39">
                  <c:v>3.90349644855831E-2</c:v>
                </c:pt>
                <c:pt idx="40">
                  <c:v>8.8234976657203701E-2</c:v>
                </c:pt>
                <c:pt idx="41">
                  <c:v>0.17118243125197199</c:v>
                </c:pt>
                <c:pt idx="42">
                  <c:v>0.17076758253148699</c:v>
                </c:pt>
                <c:pt idx="43">
                  <c:v>0.21549940033736001</c:v>
                </c:pt>
                <c:pt idx="44">
                  <c:v>0.28649390668110303</c:v>
                </c:pt>
                <c:pt idx="45">
                  <c:v>0.26302559121491598</c:v>
                </c:pt>
                <c:pt idx="46">
                  <c:v>0.276592519805543</c:v>
                </c:pt>
                <c:pt idx="47">
                  <c:v>0.226844627566191</c:v>
                </c:pt>
                <c:pt idx="48">
                  <c:v>0.26480501273286999</c:v>
                </c:pt>
                <c:pt idx="49">
                  <c:v>0.16278808265958999</c:v>
                </c:pt>
                <c:pt idx="50">
                  <c:v>0.10917602566679099</c:v>
                </c:pt>
                <c:pt idx="51">
                  <c:v>0.103933202699394</c:v>
                </c:pt>
                <c:pt idx="52">
                  <c:v>7.5363280112762901E-2</c:v>
                </c:pt>
                <c:pt idx="53">
                  <c:v>0.13406310866194901</c:v>
                </c:pt>
                <c:pt idx="54">
                  <c:v>0.20203905496067401</c:v>
                </c:pt>
                <c:pt idx="55">
                  <c:v>0.22321588493399999</c:v>
                </c:pt>
                <c:pt idx="56">
                  <c:v>0.301860289959274</c:v>
                </c:pt>
                <c:pt idx="57">
                  <c:v>0.25213176172462498</c:v>
                </c:pt>
                <c:pt idx="58">
                  <c:v>0.194679970440856</c:v>
                </c:pt>
                <c:pt idx="59">
                  <c:v>0.215128541373415</c:v>
                </c:pt>
                <c:pt idx="60">
                  <c:v>0.151576945989606</c:v>
                </c:pt>
                <c:pt idx="61">
                  <c:v>0.12254596310858</c:v>
                </c:pt>
                <c:pt idx="62">
                  <c:v>0.105372317427297</c:v>
                </c:pt>
                <c:pt idx="63">
                  <c:v>5.0511971908326098E-2</c:v>
                </c:pt>
                <c:pt idx="64">
                  <c:v>2.68570297225235E-2</c:v>
                </c:pt>
                <c:pt idx="65">
                  <c:v>2.7813952229652501E-2</c:v>
                </c:pt>
                <c:pt idx="66">
                  <c:v>3.5591476448886002E-2</c:v>
                </c:pt>
                <c:pt idx="67">
                  <c:v>0.10891034592002601</c:v>
                </c:pt>
                <c:pt idx="68">
                  <c:v>0.15963862990487401</c:v>
                </c:pt>
                <c:pt idx="69">
                  <c:v>0.14223752745162499</c:v>
                </c:pt>
                <c:pt idx="70">
                  <c:v>0.16934848699055699</c:v>
                </c:pt>
                <c:pt idx="71">
                  <c:v>0.21157223459759</c:v>
                </c:pt>
                <c:pt idx="72">
                  <c:v>0.20573150798103801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7E-D343-A2DE-1AE0082180EC}"/>
            </c:ext>
          </c:extLst>
        </c:ser>
        <c:ser>
          <c:idx val="4"/>
          <c:order val="4"/>
          <c:tx>
            <c:strRef>
              <c:f>GAM!$N$2</c:f>
              <c:strCache>
                <c:ptCount val="1"/>
                <c:pt idx="0">
                  <c:v>SPY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val>
            <c:numRef>
              <c:f>GAM!$N$3:$N$75</c:f>
              <c:numCache>
                <c:formatCode>0%</c:formatCode>
                <c:ptCount val="73"/>
                <c:pt idx="0" formatCode="0.00%">
                  <c:v>0.112279135915614</c:v>
                </c:pt>
                <c:pt idx="1">
                  <c:v>0.145938119486516</c:v>
                </c:pt>
                <c:pt idx="2">
                  <c:v>8.1960764455428894E-2</c:v>
                </c:pt>
                <c:pt idx="3">
                  <c:v>0.113019162834867</c:v>
                </c:pt>
                <c:pt idx="4">
                  <c:v>8.8972380886929006E-2</c:v>
                </c:pt>
                <c:pt idx="5">
                  <c:v>0.26397238941940099</c:v>
                </c:pt>
                <c:pt idx="6">
                  <c:v>0.28776077055136601</c:v>
                </c:pt>
                <c:pt idx="7">
                  <c:v>0.28070246920858299</c:v>
                </c:pt>
                <c:pt idx="8">
                  <c:v>0.139982173359671</c:v>
                </c:pt>
                <c:pt idx="9">
                  <c:v>8.7999080647363601E-2</c:v>
                </c:pt>
                <c:pt idx="10">
                  <c:v>7.5771829920179307E-2</c:v>
                </c:pt>
                <c:pt idx="11">
                  <c:v>9.3991159480660794E-2</c:v>
                </c:pt>
                <c:pt idx="12">
                  <c:v>0.105067375029977</c:v>
                </c:pt>
                <c:pt idx="13">
                  <c:v>0.124097429427255</c:v>
                </c:pt>
                <c:pt idx="14">
                  <c:v>0.223537076604232</c:v>
                </c:pt>
                <c:pt idx="15">
                  <c:v>0.16991171541382799</c:v>
                </c:pt>
                <c:pt idx="16">
                  <c:v>0.12720719080915499</c:v>
                </c:pt>
                <c:pt idx="17">
                  <c:v>0.119814827072122</c:v>
                </c:pt>
                <c:pt idx="18">
                  <c:v>0.134043652062354</c:v>
                </c:pt>
                <c:pt idx="19">
                  <c:v>0.15813556145712199</c:v>
                </c:pt>
                <c:pt idx="20">
                  <c:v>0.22624005208231601</c:v>
                </c:pt>
                <c:pt idx="21">
                  <c:v>0.23041407361795599</c:v>
                </c:pt>
                <c:pt idx="22">
                  <c:v>0.210391018385576</c:v>
                </c:pt>
                <c:pt idx="23">
                  <c:v>0.17179979596720599</c:v>
                </c:pt>
                <c:pt idx="24">
                  <c:v>0.24397969044522599</c:v>
                </c:pt>
                <c:pt idx="25">
                  <c:v>0.23060589594956801</c:v>
                </c:pt>
                <c:pt idx="26">
                  <c:v>0.30519792397689299</c:v>
                </c:pt>
                <c:pt idx="27">
                  <c:v>0.252093716036351</c:v>
                </c:pt>
                <c:pt idx="28">
                  <c:v>0.25015150864818603</c:v>
                </c:pt>
                <c:pt idx="29">
                  <c:v>0.302071514952644</c:v>
                </c:pt>
                <c:pt idx="30">
                  <c:v>0.25060973868966502</c:v>
                </c:pt>
                <c:pt idx="31">
                  <c:v>0.18167858576017201</c:v>
                </c:pt>
                <c:pt idx="32">
                  <c:v>9.1666897592388302E-2</c:v>
                </c:pt>
                <c:pt idx="33">
                  <c:v>0.159528162651983</c:v>
                </c:pt>
                <c:pt idx="34">
                  <c:v>0.114659604831228</c:v>
                </c:pt>
                <c:pt idx="35">
                  <c:v>0.13420502338572499</c:v>
                </c:pt>
                <c:pt idx="36">
                  <c:v>5.3270418271966602E-2</c:v>
                </c:pt>
                <c:pt idx="37">
                  <c:v>0.122491360815284</c:v>
                </c:pt>
                <c:pt idx="38">
                  <c:v>0.16218036680468001</c:v>
                </c:pt>
                <c:pt idx="39">
                  <c:v>0.177464671898831</c:v>
                </c:pt>
                <c:pt idx="40">
                  <c:v>0.180206411185203</c:v>
                </c:pt>
                <c:pt idx="41">
                  <c:v>0.159166707956167</c:v>
                </c:pt>
                <c:pt idx="42">
                  <c:v>9.0595689057445694E-2</c:v>
                </c:pt>
                <c:pt idx="43">
                  <c:v>7.8419734699101795E-2</c:v>
                </c:pt>
                <c:pt idx="44">
                  <c:v>0.120741584395252</c:v>
                </c:pt>
                <c:pt idx="45">
                  <c:v>0.16193058839104399</c:v>
                </c:pt>
                <c:pt idx="46">
                  <c:v>0.182510725071238</c:v>
                </c:pt>
                <c:pt idx="47">
                  <c:v>0.26124451258207498</c:v>
                </c:pt>
                <c:pt idx="48">
                  <c:v>0.280059430374764</c:v>
                </c:pt>
                <c:pt idx="49">
                  <c:v>0.35908642901818899</c:v>
                </c:pt>
                <c:pt idx="50">
                  <c:v>0.30225789019843002</c:v>
                </c:pt>
                <c:pt idx="51">
                  <c:v>0.19342388781169501</c:v>
                </c:pt>
                <c:pt idx="52">
                  <c:v>0.205460302310294</c:v>
                </c:pt>
                <c:pt idx="53">
                  <c:v>0.28128400320616997</c:v>
                </c:pt>
                <c:pt idx="54">
                  <c:v>0.34827014604760897</c:v>
                </c:pt>
                <c:pt idx="55">
                  <c:v>0.34997350007512001</c:v>
                </c:pt>
                <c:pt idx="56">
                  <c:v>0.34122939129042601</c:v>
                </c:pt>
                <c:pt idx="57">
                  <c:v>0.28219084082597401</c:v>
                </c:pt>
                <c:pt idx="58">
                  <c:v>0.24263511632367099</c:v>
                </c:pt>
                <c:pt idx="59">
                  <c:v>0.29515807767987901</c:v>
                </c:pt>
                <c:pt idx="60">
                  <c:v>0.37525388743261101</c:v>
                </c:pt>
                <c:pt idx="61">
                  <c:v>0.382104883421168</c:v>
                </c:pt>
                <c:pt idx="62">
                  <c:v>0.24173130502166801</c:v>
                </c:pt>
                <c:pt idx="63">
                  <c:v>0.162534940514308</c:v>
                </c:pt>
                <c:pt idx="64">
                  <c:v>0.17264598816493501</c:v>
                </c:pt>
                <c:pt idx="65">
                  <c:v>0.38093881488521297</c:v>
                </c:pt>
                <c:pt idx="66">
                  <c:v>0.35997920954706703</c:v>
                </c:pt>
                <c:pt idx="67">
                  <c:v>0.31554084970434099</c:v>
                </c:pt>
                <c:pt idx="68">
                  <c:v>0.193931943742152</c:v>
                </c:pt>
                <c:pt idx="69">
                  <c:v>4.2091850492811098E-2</c:v>
                </c:pt>
                <c:pt idx="70">
                  <c:v>3.0903546710820198E-2</c:v>
                </c:pt>
                <c:pt idx="71">
                  <c:v>9.7864762506299594E-2</c:v>
                </c:pt>
                <c:pt idx="72">
                  <c:v>0.122680174306962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7E-D343-A2DE-1AE0082180EC}"/>
            </c:ext>
          </c:extLst>
        </c:ser>
        <c:ser>
          <c:idx val="5"/>
          <c:order val="5"/>
          <c:tx>
            <c:strRef>
              <c:f>GAM!$O$2</c:f>
              <c:strCache>
                <c:ptCount val="1"/>
                <c:pt idx="0">
                  <c:v>SPTL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val>
            <c:numRef>
              <c:f>GAM!$O$3:$O$75</c:f>
              <c:numCache>
                <c:formatCode>0%</c:formatCode>
                <c:ptCount val="73"/>
                <c:pt idx="0" formatCode="0.00%">
                  <c:v>0.34873927337379201</c:v>
                </c:pt>
                <c:pt idx="1">
                  <c:v>0.38476254802584098</c:v>
                </c:pt>
                <c:pt idx="2">
                  <c:v>0.32266572532570698</c:v>
                </c:pt>
                <c:pt idx="3">
                  <c:v>0.23511377361004801</c:v>
                </c:pt>
                <c:pt idx="4">
                  <c:v>0.16322036830796</c:v>
                </c:pt>
                <c:pt idx="5">
                  <c:v>9.4618079116760706E-2</c:v>
                </c:pt>
                <c:pt idx="6">
                  <c:v>3.6856521277134E-2</c:v>
                </c:pt>
                <c:pt idx="7">
                  <c:v>0.122754227821591</c:v>
                </c:pt>
                <c:pt idx="8">
                  <c:v>0.34342896838707798</c:v>
                </c:pt>
                <c:pt idx="9">
                  <c:v>0.265052537249932</c:v>
                </c:pt>
                <c:pt idx="10">
                  <c:v>0.30028840462887701</c:v>
                </c:pt>
                <c:pt idx="11">
                  <c:v>0.253810877897793</c:v>
                </c:pt>
                <c:pt idx="12">
                  <c:v>0.36041009569961202</c:v>
                </c:pt>
                <c:pt idx="13">
                  <c:v>0.28396774627886801</c:v>
                </c:pt>
                <c:pt idx="14">
                  <c:v>0.2858414752356</c:v>
                </c:pt>
                <c:pt idx="15">
                  <c:v>0.36488256793680401</c:v>
                </c:pt>
                <c:pt idx="16">
                  <c:v>0.32081036588185802</c:v>
                </c:pt>
                <c:pt idx="17">
                  <c:v>0.20056431270233399</c:v>
                </c:pt>
                <c:pt idx="18">
                  <c:v>9.6018656807842301E-2</c:v>
                </c:pt>
                <c:pt idx="19">
                  <c:v>2.04675575389404E-2</c:v>
                </c:pt>
                <c:pt idx="20">
                  <c:v>6.1887378023824501E-3</c:v>
                </c:pt>
                <c:pt idx="21">
                  <c:v>0</c:v>
                </c:pt>
                <c:pt idx="22">
                  <c:v>0</c:v>
                </c:pt>
                <c:pt idx="23">
                  <c:v>2.6827501301147898E-3</c:v>
                </c:pt>
                <c:pt idx="24">
                  <c:v>5.2085060552952901E-2</c:v>
                </c:pt>
                <c:pt idx="25">
                  <c:v>0.15736565964759899</c:v>
                </c:pt>
                <c:pt idx="26">
                  <c:v>0.142486721402662</c:v>
                </c:pt>
                <c:pt idx="27">
                  <c:v>0.143291193091963</c:v>
                </c:pt>
                <c:pt idx="28">
                  <c:v>0.14035304269065799</c:v>
                </c:pt>
                <c:pt idx="29">
                  <c:v>0.21660144886941801</c:v>
                </c:pt>
                <c:pt idx="30">
                  <c:v>0.132058616336651</c:v>
                </c:pt>
                <c:pt idx="31">
                  <c:v>0.100934506505194</c:v>
                </c:pt>
                <c:pt idx="32">
                  <c:v>0.13361736495083601</c:v>
                </c:pt>
                <c:pt idx="33">
                  <c:v>5.0694657906790501E-2</c:v>
                </c:pt>
                <c:pt idx="34">
                  <c:v>2.3466516572661501E-2</c:v>
                </c:pt>
                <c:pt idx="35">
                  <c:v>1.21835060028005E-2</c:v>
                </c:pt>
                <c:pt idx="36">
                  <c:v>3.8972779720961699E-2</c:v>
                </c:pt>
                <c:pt idx="37">
                  <c:v>9.4346356524203603E-2</c:v>
                </c:pt>
                <c:pt idx="38">
                  <c:v>8.3500104080009505E-2</c:v>
                </c:pt>
                <c:pt idx="39">
                  <c:v>0.101336851511952</c:v>
                </c:pt>
                <c:pt idx="40">
                  <c:v>8.0495873195830497E-3</c:v>
                </c:pt>
                <c:pt idx="41">
                  <c:v>4.4275807891985099E-3</c:v>
                </c:pt>
                <c:pt idx="42">
                  <c:v>2.27518178617684E-2</c:v>
                </c:pt>
                <c:pt idx="43">
                  <c:v>3.6937535582784398E-2</c:v>
                </c:pt>
                <c:pt idx="44">
                  <c:v>3.8854967166452203E-2</c:v>
                </c:pt>
                <c:pt idx="45">
                  <c:v>6.1426572075670802E-2</c:v>
                </c:pt>
                <c:pt idx="46">
                  <c:v>8.8898670489892695E-2</c:v>
                </c:pt>
                <c:pt idx="47">
                  <c:v>6.7698764861708699E-2</c:v>
                </c:pt>
                <c:pt idx="48">
                  <c:v>4.1784569684039097E-2</c:v>
                </c:pt>
                <c:pt idx="49">
                  <c:v>6.4121941148870603E-3</c:v>
                </c:pt>
                <c:pt idx="50">
                  <c:v>1.4006242176569301E-3</c:v>
                </c:pt>
                <c:pt idx="51">
                  <c:v>3.6834302489170299E-3</c:v>
                </c:pt>
                <c:pt idx="52">
                  <c:v>1.2838294987502299E-3</c:v>
                </c:pt>
                <c:pt idx="53">
                  <c:v>1.7256526582389001E-3</c:v>
                </c:pt>
                <c:pt idx="54">
                  <c:v>3.5800553004332901E-2</c:v>
                </c:pt>
                <c:pt idx="55">
                  <c:v>5.7141535172948198E-2</c:v>
                </c:pt>
                <c:pt idx="56">
                  <c:v>2.6773686890738599E-2</c:v>
                </c:pt>
                <c:pt idx="57">
                  <c:v>2.0205530624773399E-2</c:v>
                </c:pt>
                <c:pt idx="58">
                  <c:v>6.0546999360539004E-3</c:v>
                </c:pt>
                <c:pt idx="59">
                  <c:v>5.3143950232508296E-3</c:v>
                </c:pt>
                <c:pt idx="60">
                  <c:v>1.7685810697020601E-2</c:v>
                </c:pt>
                <c:pt idx="61">
                  <c:v>6.3131654213346794E-2</c:v>
                </c:pt>
                <c:pt idx="62">
                  <c:v>0.104466516512268</c:v>
                </c:pt>
                <c:pt idx="63">
                  <c:v>0.137126808923731</c:v>
                </c:pt>
                <c:pt idx="64">
                  <c:v>4.8026545188936502E-2</c:v>
                </c:pt>
                <c:pt idx="65">
                  <c:v>7.7444920440927101E-2</c:v>
                </c:pt>
                <c:pt idx="66">
                  <c:v>1.6334897560599401E-2</c:v>
                </c:pt>
                <c:pt idx="67">
                  <c:v>4.2808000621301998E-3</c:v>
                </c:pt>
                <c:pt idx="68">
                  <c:v>8.2623070281955799E-2</c:v>
                </c:pt>
                <c:pt idx="69">
                  <c:v>9.1128662920763506E-2</c:v>
                </c:pt>
                <c:pt idx="70">
                  <c:v>0.104132535182671</c:v>
                </c:pt>
                <c:pt idx="71">
                  <c:v>3.6253906659602202E-2</c:v>
                </c:pt>
                <c:pt idx="72">
                  <c:v>3.70425073375307E-2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7E-D343-A2DE-1AE0082180EC}"/>
            </c:ext>
          </c:extLst>
        </c:ser>
        <c:ser>
          <c:idx val="6"/>
          <c:order val="6"/>
          <c:tx>
            <c:strRef>
              <c:f>GAM!$P$2</c:f>
              <c:strCache>
                <c:ptCount val="1"/>
                <c:pt idx="0">
                  <c:v>VNQ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GAM!$P$3:$P$75</c:f>
              <c:numCache>
                <c:formatCode>0%</c:formatCode>
                <c:ptCount val="73"/>
                <c:pt idx="0" formatCode="0.00%">
                  <c:v>0.14787818879047401</c:v>
                </c:pt>
                <c:pt idx="1">
                  <c:v>0.20072604080162401</c:v>
                </c:pt>
                <c:pt idx="2">
                  <c:v>0.27405679085696599</c:v>
                </c:pt>
                <c:pt idx="3">
                  <c:v>0.350612633223984</c:v>
                </c:pt>
                <c:pt idx="4">
                  <c:v>0.367933038865837</c:v>
                </c:pt>
                <c:pt idx="5">
                  <c:v>0.24310110775924099</c:v>
                </c:pt>
                <c:pt idx="6">
                  <c:v>0.14745040984275401</c:v>
                </c:pt>
                <c:pt idx="7">
                  <c:v>0.16683718580158099</c:v>
                </c:pt>
                <c:pt idx="8">
                  <c:v>5.2888566376103598E-2</c:v>
                </c:pt>
                <c:pt idx="9">
                  <c:v>1.57987191824005E-2</c:v>
                </c:pt>
                <c:pt idx="10">
                  <c:v>1.4699340991767E-2</c:v>
                </c:pt>
                <c:pt idx="11">
                  <c:v>1.6319595104068899E-2</c:v>
                </c:pt>
                <c:pt idx="12">
                  <c:v>7.6066127252048497E-3</c:v>
                </c:pt>
                <c:pt idx="13">
                  <c:v>8.7073283208630708E-3</c:v>
                </c:pt>
                <c:pt idx="14">
                  <c:v>1.0754050772021E-2</c:v>
                </c:pt>
                <c:pt idx="15">
                  <c:v>2.91241421947687E-2</c:v>
                </c:pt>
                <c:pt idx="16">
                  <c:v>3.6837309149350198E-2</c:v>
                </c:pt>
                <c:pt idx="17">
                  <c:v>4.3531836555966E-2</c:v>
                </c:pt>
                <c:pt idx="18">
                  <c:v>5.7525352901914101E-2</c:v>
                </c:pt>
                <c:pt idx="19">
                  <c:v>7.4340210945774393E-2</c:v>
                </c:pt>
                <c:pt idx="20">
                  <c:v>0.10400235277954301</c:v>
                </c:pt>
                <c:pt idx="21">
                  <c:v>0.19003425039654301</c:v>
                </c:pt>
                <c:pt idx="22">
                  <c:v>0.29678080907964899</c:v>
                </c:pt>
                <c:pt idx="23">
                  <c:v>0.23918143019299801</c:v>
                </c:pt>
                <c:pt idx="24">
                  <c:v>0.22275269306140999</c:v>
                </c:pt>
                <c:pt idx="25">
                  <c:v>0.24419339566711801</c:v>
                </c:pt>
                <c:pt idx="26">
                  <c:v>0.27981922654581698</c:v>
                </c:pt>
                <c:pt idx="27">
                  <c:v>0.22157333753741701</c:v>
                </c:pt>
                <c:pt idx="28">
                  <c:v>0.26384721761024899</c:v>
                </c:pt>
                <c:pt idx="29">
                  <c:v>0.18878309654047401</c:v>
                </c:pt>
                <c:pt idx="30">
                  <c:v>0.203197018304796</c:v>
                </c:pt>
                <c:pt idx="31">
                  <c:v>0.14993206981170601</c:v>
                </c:pt>
                <c:pt idx="32">
                  <c:v>6.8422635344315502E-2</c:v>
                </c:pt>
                <c:pt idx="33">
                  <c:v>0.20097705749952999</c:v>
                </c:pt>
                <c:pt idx="34">
                  <c:v>0.20652275475398299</c:v>
                </c:pt>
                <c:pt idx="35">
                  <c:v>0.16938564336541001</c:v>
                </c:pt>
                <c:pt idx="36">
                  <c:v>9.0377285956020501E-2</c:v>
                </c:pt>
                <c:pt idx="37">
                  <c:v>0.171987812933319</c:v>
                </c:pt>
                <c:pt idx="38">
                  <c:v>0.129910590244631</c:v>
                </c:pt>
                <c:pt idx="39">
                  <c:v>8.4781115272575799E-2</c:v>
                </c:pt>
                <c:pt idx="40">
                  <c:v>8.8057325081888793E-2</c:v>
                </c:pt>
                <c:pt idx="41">
                  <c:v>5.2215091561868501E-2</c:v>
                </c:pt>
                <c:pt idx="42">
                  <c:v>4.1913570887631799E-2</c:v>
                </c:pt>
                <c:pt idx="43">
                  <c:v>2.5191485426462198E-2</c:v>
                </c:pt>
                <c:pt idx="44">
                  <c:v>4.7946665820049E-2</c:v>
                </c:pt>
                <c:pt idx="45">
                  <c:v>1.63008455004276E-2</c:v>
                </c:pt>
                <c:pt idx="46">
                  <c:v>2.6873621495586801E-2</c:v>
                </c:pt>
                <c:pt idx="47">
                  <c:v>1.1070556072099801E-2</c:v>
                </c:pt>
                <c:pt idx="48">
                  <c:v>7.2686273777006899E-2</c:v>
                </c:pt>
                <c:pt idx="49">
                  <c:v>6.9299482905989404E-2</c:v>
                </c:pt>
                <c:pt idx="50">
                  <c:v>7.4091901506140298E-2</c:v>
                </c:pt>
                <c:pt idx="51">
                  <c:v>2.1743224181917199E-2</c:v>
                </c:pt>
                <c:pt idx="52">
                  <c:v>2.1696418978545101E-2</c:v>
                </c:pt>
                <c:pt idx="53">
                  <c:v>5.2104750066527698E-2</c:v>
                </c:pt>
                <c:pt idx="54">
                  <c:v>0.12024798947209001</c:v>
                </c:pt>
                <c:pt idx="55">
                  <c:v>8.5133597510620496E-2</c:v>
                </c:pt>
                <c:pt idx="56">
                  <c:v>8.6735303055815199E-2</c:v>
                </c:pt>
                <c:pt idx="57">
                  <c:v>5.39587725504748E-2</c:v>
                </c:pt>
                <c:pt idx="58">
                  <c:v>1.8947739465266001E-2</c:v>
                </c:pt>
                <c:pt idx="59">
                  <c:v>4.3527812775556798E-2</c:v>
                </c:pt>
                <c:pt idx="60">
                  <c:v>7.0169680806626195E-2</c:v>
                </c:pt>
                <c:pt idx="61">
                  <c:v>0.16103079192601</c:v>
                </c:pt>
                <c:pt idx="62">
                  <c:v>0.26684058845222802</c:v>
                </c:pt>
                <c:pt idx="63">
                  <c:v>0.290877608234197</c:v>
                </c:pt>
                <c:pt idx="64">
                  <c:v>0.23355502223510799</c:v>
                </c:pt>
                <c:pt idx="65">
                  <c:v>0.21876978019962601</c:v>
                </c:pt>
                <c:pt idx="66">
                  <c:v>9.8333069486362196E-2</c:v>
                </c:pt>
                <c:pt idx="67">
                  <c:v>7.1374518854448801E-2</c:v>
                </c:pt>
                <c:pt idx="68">
                  <c:v>0.11554448006272899</c:v>
                </c:pt>
                <c:pt idx="69">
                  <c:v>7.8706280606011703E-2</c:v>
                </c:pt>
                <c:pt idx="70">
                  <c:v>6.3083822677495294E-2</c:v>
                </c:pt>
                <c:pt idx="71">
                  <c:v>6.9755011947217296E-2</c:v>
                </c:pt>
                <c:pt idx="72">
                  <c:v>4.0850919784575702E-2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7E-D343-A2DE-1AE0082180EC}"/>
            </c:ext>
          </c:extLst>
        </c:ser>
        <c:ser>
          <c:idx val="7"/>
          <c:order val="7"/>
          <c:tx>
            <c:strRef>
              <c:f>GAM!$Q$2</c:f>
              <c:strCache>
                <c:ptCount val="1"/>
                <c:pt idx="0">
                  <c:v>USFR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GAM!$Q$3:$Q$75</c:f>
              <c:numCache>
                <c:formatCode>0%</c:formatCode>
                <c:ptCount val="73"/>
                <c:pt idx="0" formatCode="0.0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1.7763568394002501E-15</c:v>
                </c:pt>
                <c:pt idx="4">
                  <c:v>0</c:v>
                </c:pt>
                <c:pt idx="5">
                  <c:v>0</c:v>
                </c:pt>
                <c:pt idx="6">
                  <c:v>3.219646771412954E-15</c:v>
                </c:pt>
                <c:pt idx="7">
                  <c:v>2.3314683517128291E-15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1.7763568394002501E-15</c:v>
                </c:pt>
                <c:pt idx="12">
                  <c:v>0</c:v>
                </c:pt>
                <c:pt idx="13">
                  <c:v>0</c:v>
                </c:pt>
                <c:pt idx="14">
                  <c:v>3.8857805861880479E-15</c:v>
                </c:pt>
                <c:pt idx="15">
                  <c:v>2.775557561562891E-15</c:v>
                </c:pt>
                <c:pt idx="16">
                  <c:v>0</c:v>
                </c:pt>
                <c:pt idx="17">
                  <c:v>0</c:v>
                </c:pt>
                <c:pt idx="18">
                  <c:v>2.55351295663786E-15</c:v>
                </c:pt>
                <c:pt idx="19">
                  <c:v>0</c:v>
                </c:pt>
                <c:pt idx="20">
                  <c:v>3.1086244689504379E-15</c:v>
                </c:pt>
                <c:pt idx="21">
                  <c:v>2.442490654175344E-15</c:v>
                </c:pt>
                <c:pt idx="22">
                  <c:v>2.109423746787797E-15</c:v>
                </c:pt>
                <c:pt idx="23">
                  <c:v>2.442490654175344E-15</c:v>
                </c:pt>
                <c:pt idx="24">
                  <c:v>2.2204460492503131E-15</c:v>
                </c:pt>
                <c:pt idx="25">
                  <c:v>2.886579864025407E-15</c:v>
                </c:pt>
                <c:pt idx="26">
                  <c:v>0</c:v>
                </c:pt>
                <c:pt idx="27">
                  <c:v>1.9984014443252822E-15</c:v>
                </c:pt>
                <c:pt idx="28">
                  <c:v>1.7763568394002501E-15</c:v>
                </c:pt>
                <c:pt idx="29">
                  <c:v>0</c:v>
                </c:pt>
                <c:pt idx="30">
                  <c:v>2.442490654175344E-15</c:v>
                </c:pt>
                <c:pt idx="31">
                  <c:v>2.3314683517128291E-15</c:v>
                </c:pt>
                <c:pt idx="32">
                  <c:v>2.55351295663786E-15</c:v>
                </c:pt>
                <c:pt idx="33">
                  <c:v>2.2204460492503131E-15</c:v>
                </c:pt>
                <c:pt idx="34">
                  <c:v>2.6645352591003761E-15</c:v>
                </c:pt>
                <c:pt idx="35">
                  <c:v>2.442490654175344E-15</c:v>
                </c:pt>
                <c:pt idx="36">
                  <c:v>0</c:v>
                </c:pt>
                <c:pt idx="37">
                  <c:v>2.109423746787797E-15</c:v>
                </c:pt>
                <c:pt idx="38">
                  <c:v>1.9984014443252822E-15</c:v>
                </c:pt>
                <c:pt idx="39">
                  <c:v>2.442490654175344E-15</c:v>
                </c:pt>
                <c:pt idx="40">
                  <c:v>0</c:v>
                </c:pt>
                <c:pt idx="41">
                  <c:v>2.9976021664879231E-15</c:v>
                </c:pt>
                <c:pt idx="42">
                  <c:v>1.9984014443252822E-15</c:v>
                </c:pt>
                <c:pt idx="43">
                  <c:v>4.5921417669569357E-2</c:v>
                </c:pt>
                <c:pt idx="44">
                  <c:v>0.11838008170356321</c:v>
                </c:pt>
                <c:pt idx="45">
                  <c:v>4.3833024485589338E-2</c:v>
                </c:pt>
                <c:pt idx="46">
                  <c:v>2.4519770756558201E-2</c:v>
                </c:pt>
                <c:pt idx="47">
                  <c:v>8.6568140356634959E-2</c:v>
                </c:pt>
                <c:pt idx="48">
                  <c:v>4.3514735952952972E-2</c:v>
                </c:pt>
                <c:pt idx="49">
                  <c:v>4.4598620842198899E-3</c:v>
                </c:pt>
                <c:pt idx="50">
                  <c:v>0.10166540623233861</c:v>
                </c:pt>
                <c:pt idx="51">
                  <c:v>0.19226699021278659</c:v>
                </c:pt>
                <c:pt idx="52">
                  <c:v>0.1641092196568994</c:v>
                </c:pt>
                <c:pt idx="53">
                  <c:v>1.9143069522422621E-2</c:v>
                </c:pt>
                <c:pt idx="54">
                  <c:v>5.3537836836431429E-3</c:v>
                </c:pt>
                <c:pt idx="55">
                  <c:v>1.846432109052842E-2</c:v>
                </c:pt>
                <c:pt idx="56">
                  <c:v>1.531864248302073E-2</c:v>
                </c:pt>
                <c:pt idx="57">
                  <c:v>2.4454550012261711E-3</c:v>
                </c:pt>
                <c:pt idx="58">
                  <c:v>1.93871039190372E-2</c:v>
                </c:pt>
                <c:pt idx="59">
                  <c:v>9.453690173005902E-3</c:v>
                </c:pt>
                <c:pt idx="60">
                  <c:v>5.431517377131212E-3</c:v>
                </c:pt>
                <c:pt idx="61">
                  <c:v>4.3053047134574696E-3</c:v>
                </c:pt>
                <c:pt idx="62">
                  <c:v>1.545951878698659E-3</c:v>
                </c:pt>
                <c:pt idx="63">
                  <c:v>1.7763568394002501E-15</c:v>
                </c:pt>
                <c:pt idx="64">
                  <c:v>3.2617763978550977E-2</c:v>
                </c:pt>
                <c:pt idx="65">
                  <c:v>3.6159576882334843E-2</c:v>
                </c:pt>
                <c:pt idx="66">
                  <c:v>0.1226389870604848</c:v>
                </c:pt>
                <c:pt idx="67">
                  <c:v>6.8549359428499823E-2</c:v>
                </c:pt>
                <c:pt idx="68">
                  <c:v>2.3314683517128291E-15</c:v>
                </c:pt>
                <c:pt idx="69">
                  <c:v>7.0659024761923317E-2</c:v>
                </c:pt>
                <c:pt idx="70">
                  <c:v>0.10651166996024621</c:v>
                </c:pt>
                <c:pt idx="71">
                  <c:v>5.5737689881913632E-2</c:v>
                </c:pt>
                <c:pt idx="72">
                  <c:v>2.7975544401416801E-2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7E-D343-A2DE-1AE008218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418080"/>
        <c:axId val="1407420480"/>
      </c:barChart>
      <c:catAx>
        <c:axId val="140741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20480"/>
        <c:crosses val="autoZero"/>
        <c:auto val="1"/>
        <c:lblAlgn val="ctr"/>
        <c:lblOffset val="100"/>
        <c:noMultiLvlLbl val="0"/>
      </c:catAx>
      <c:valAx>
        <c:axId val="14074204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180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GAM!$R$2</c:f>
              <c:strCache>
                <c:ptCount val="1"/>
                <c:pt idx="0">
                  <c:v>PDBC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GAM!$R$3:$R$75</c:f>
              <c:numCache>
                <c:formatCode>0%</c:formatCode>
                <c:ptCount val="73"/>
                <c:pt idx="0">
                  <c:v>-9.280209842799092E-5</c:v>
                </c:pt>
                <c:pt idx="1">
                  <c:v>-4.3392323537805311E-4</c:v>
                </c:pt>
                <c:pt idx="2">
                  <c:v>7.747287849002582E-5</c:v>
                </c:pt>
                <c:pt idx="3">
                  <c:v>1.7175398846003281E-4</c:v>
                </c:pt>
                <c:pt idx="4">
                  <c:v>-3.332524070798204E-5</c:v>
                </c:pt>
                <c:pt idx="5">
                  <c:v>1.3723332361499361E-3</c:v>
                </c:pt>
                <c:pt idx="6">
                  <c:v>-6.218084444141958E-3</c:v>
                </c:pt>
                <c:pt idx="7">
                  <c:v>-1.2398407543470209E-3</c:v>
                </c:pt>
                <c:pt idx="8">
                  <c:v>0</c:v>
                </c:pt>
                <c:pt idx="9">
                  <c:v>8.4880127992903454E-7</c:v>
                </c:pt>
                <c:pt idx="10">
                  <c:v>-3.0739832733051031E-5</c:v>
                </c:pt>
                <c:pt idx="11">
                  <c:v>1.5821156781004039E-4</c:v>
                </c:pt>
                <c:pt idx="12">
                  <c:v>1.497651333540073E-3</c:v>
                </c:pt>
                <c:pt idx="13">
                  <c:v>1.7788612850699881E-3</c:v>
                </c:pt>
                <c:pt idx="14">
                  <c:v>-4.1898552764469974E-3</c:v>
                </c:pt>
                <c:pt idx="15">
                  <c:v>-3.1324627293739531E-3</c:v>
                </c:pt>
                <c:pt idx="16">
                  <c:v>7.9587781037100402E-3</c:v>
                </c:pt>
                <c:pt idx="17">
                  <c:v>7.2948480633800994E-3</c:v>
                </c:pt>
                <c:pt idx="18">
                  <c:v>7.6861100714400443E-3</c:v>
                </c:pt>
                <c:pt idx="19">
                  <c:v>3.104036206454008E-2</c:v>
                </c:pt>
                <c:pt idx="20">
                  <c:v>-2.14149729993296E-3</c:v>
                </c:pt>
                <c:pt idx="21">
                  <c:v>1.828438726654991E-2</c:v>
                </c:pt>
                <c:pt idx="22">
                  <c:v>7.2136213545599404E-3</c:v>
                </c:pt>
                <c:pt idx="23">
                  <c:v>6.4654428714900902E-3</c:v>
                </c:pt>
                <c:pt idx="24">
                  <c:v>3.1208147120300729E-3</c:v>
                </c:pt>
                <c:pt idx="25">
                  <c:v>-3.9379179669689623E-3</c:v>
                </c:pt>
                <c:pt idx="26">
                  <c:v>4.907966631130023E-3</c:v>
                </c:pt>
                <c:pt idx="27">
                  <c:v>9.0565489493099616E-3</c:v>
                </c:pt>
                <c:pt idx="28">
                  <c:v>-1.648589330837302E-2</c:v>
                </c:pt>
                <c:pt idx="29">
                  <c:v>7.2266487241399169E-3</c:v>
                </c:pt>
                <c:pt idx="30">
                  <c:v>9.8590535436000604E-3</c:v>
                </c:pt>
                <c:pt idx="31">
                  <c:v>1.241239042406006E-2</c:v>
                </c:pt>
                <c:pt idx="32">
                  <c:v>2.1224343845920091E-2</c:v>
                </c:pt>
                <c:pt idx="33">
                  <c:v>7.9095168136100735E-3</c:v>
                </c:pt>
                <c:pt idx="34">
                  <c:v>5.8445094100298967E-3</c:v>
                </c:pt>
                <c:pt idx="35">
                  <c:v>-1.014372210992398E-2</c:v>
                </c:pt>
                <c:pt idx="36">
                  <c:v>-3.9552914521640004E-3</c:v>
                </c:pt>
                <c:pt idx="37">
                  <c:v>-3.474637828659977E-3</c:v>
                </c:pt>
                <c:pt idx="38">
                  <c:v>-1.214077786961798E-2</c:v>
                </c:pt>
                <c:pt idx="39">
                  <c:v>8.3668652924899778E-3</c:v>
                </c:pt>
                <c:pt idx="40">
                  <c:v>3.0303050042999051E-3</c:v>
                </c:pt>
                <c:pt idx="41">
                  <c:v>-5.8280332429030413E-3</c:v>
                </c:pt>
                <c:pt idx="42">
                  <c:v>1.022798308810025E-3</c:v>
                </c:pt>
                <c:pt idx="43">
                  <c:v>-4.2813914058850164E-3</c:v>
                </c:pt>
                <c:pt idx="44">
                  <c:v>5.4190246179008916E-4</c:v>
                </c:pt>
                <c:pt idx="45">
                  <c:v>2.1912331224993589E-4</c:v>
                </c:pt>
                <c:pt idx="46">
                  <c:v>-6.7163978986695128E-4</c:v>
                </c:pt>
                <c:pt idx="47">
                  <c:v>1.538662472799768E-4</c:v>
                </c:pt>
                <c:pt idx="48">
                  <c:v>2.7802001902998969E-4</c:v>
                </c:pt>
                <c:pt idx="49">
                  <c:v>1.4035379013011001E-4</c:v>
                </c:pt>
                <c:pt idx="50">
                  <c:v>1.339599281179993E-3</c:v>
                </c:pt>
                <c:pt idx="51">
                  <c:v>-4.4535914439910451E-3</c:v>
                </c:pt>
                <c:pt idx="52">
                  <c:v>-4.1061910760850076E-3</c:v>
                </c:pt>
                <c:pt idx="53">
                  <c:v>-2.5739071902870499E-3</c:v>
                </c:pt>
                <c:pt idx="54">
                  <c:v>-3.1819350088002629E-4</c:v>
                </c:pt>
                <c:pt idx="55">
                  <c:v>-1.820465352789791E-4</c:v>
                </c:pt>
                <c:pt idx="56">
                  <c:v>1.402779554710021E-3</c:v>
                </c:pt>
                <c:pt idx="57">
                  <c:v>7.9889941187993863E-4</c:v>
                </c:pt>
                <c:pt idx="58">
                  <c:v>1.068956594979964E-3</c:v>
                </c:pt>
                <c:pt idx="59">
                  <c:v>-1.0509688631430421E-3</c:v>
                </c:pt>
                <c:pt idx="60">
                  <c:v>-8.8803471002996126E-4</c:v>
                </c:pt>
                <c:pt idx="61">
                  <c:v>-6.7018906571003622E-4</c:v>
                </c:pt>
                <c:pt idx="62">
                  <c:v>-5.560867883103171E-5</c:v>
                </c:pt>
                <c:pt idx="63">
                  <c:v>4.420480494005119E-5</c:v>
                </c:pt>
                <c:pt idx="64">
                  <c:v>-2.2359863327603419E-4</c:v>
                </c:pt>
                <c:pt idx="65">
                  <c:v>1.2291809606002069E-4</c:v>
                </c:pt>
                <c:pt idx="66">
                  <c:v>1.395901922160103E-3</c:v>
                </c:pt>
                <c:pt idx="67">
                  <c:v>-2.7876774076796012E-4</c:v>
                </c:pt>
                <c:pt idx="68">
                  <c:v>1.6046432040599521E-3</c:v>
                </c:pt>
                <c:pt idx="69">
                  <c:v>-1.553587551362001E-2</c:v>
                </c:pt>
                <c:pt idx="70">
                  <c:v>1.082976635990107E-3</c:v>
                </c:pt>
                <c:pt idx="71">
                  <c:v>1.335024598219992E-3</c:v>
                </c:pt>
                <c:pt idx="72">
                  <c:v>2.26577179149001E-3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E-5E4D-B890-F5BB8AE559A4}"/>
            </c:ext>
          </c:extLst>
        </c:ser>
        <c:ser>
          <c:idx val="1"/>
          <c:order val="1"/>
          <c:tx>
            <c:strRef>
              <c:f>GAM!$S$2</c:f>
              <c:strCache>
                <c:ptCount val="1"/>
                <c:pt idx="0">
                  <c:v>VWO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GAM!$S$3:$S$75</c:f>
              <c:numCache>
                <c:formatCode>0%</c:formatCode>
                <c:ptCount val="73"/>
                <c:pt idx="0">
                  <c:v>-6.562858141929695E-4</c:v>
                </c:pt>
                <c:pt idx="1">
                  <c:v>-9.6217280621901935E-4</c:v>
                </c:pt>
                <c:pt idx="2">
                  <c:v>4.566818083799884E-4</c:v>
                </c:pt>
                <c:pt idx="3">
                  <c:v>5.1908574805992203E-4</c:v>
                </c:pt>
                <c:pt idx="4">
                  <c:v>-6.6895443046999237E-4</c:v>
                </c:pt>
                <c:pt idx="5">
                  <c:v>6.7075841716699447E-3</c:v>
                </c:pt>
                <c:pt idx="6">
                  <c:v>-8.1725855407279724E-3</c:v>
                </c:pt>
                <c:pt idx="7">
                  <c:v>-6.0581349693500375E-4</c:v>
                </c:pt>
                <c:pt idx="8">
                  <c:v>-4.6300564818589907E-3</c:v>
                </c:pt>
                <c:pt idx="9">
                  <c:v>1.9580266061300922E-3</c:v>
                </c:pt>
                <c:pt idx="10">
                  <c:v>7.9703518041007726E-4</c:v>
                </c:pt>
                <c:pt idx="11">
                  <c:v>1.793448392459984E-3</c:v>
                </c:pt>
                <c:pt idx="12">
                  <c:v>5.2012017191600526E-3</c:v>
                </c:pt>
                <c:pt idx="13">
                  <c:v>1.882966023500021E-3</c:v>
                </c:pt>
                <c:pt idx="14">
                  <c:v>-1.696834866883989E-3</c:v>
                </c:pt>
                <c:pt idx="15">
                  <c:v>1.5667890921400309E-3</c:v>
                </c:pt>
                <c:pt idx="16">
                  <c:v>1.6650667533820052E-2</c:v>
                </c:pt>
                <c:pt idx="17">
                  <c:v>1.64686548592099E-2</c:v>
                </c:pt>
                <c:pt idx="18">
                  <c:v>7.523990994680041E-3</c:v>
                </c:pt>
                <c:pt idx="19">
                  <c:v>3.4183689877500529E-3</c:v>
                </c:pt>
                <c:pt idx="20">
                  <c:v>5.2763783488996019E-4</c:v>
                </c:pt>
                <c:pt idx="21">
                  <c:v>1.434575423739926E-3</c:v>
                </c:pt>
                <c:pt idx="22">
                  <c:v>1.481471832740056E-3</c:v>
                </c:pt>
                <c:pt idx="23">
                  <c:v>9.3193262869006865E-4</c:v>
                </c:pt>
                <c:pt idx="24">
                  <c:v>-5.8883371410149987E-3</c:v>
                </c:pt>
                <c:pt idx="25">
                  <c:v>1.0008577694700089E-3</c:v>
                </c:pt>
                <c:pt idx="26">
                  <c:v>-1.344939469618001E-3</c:v>
                </c:pt>
                <c:pt idx="27">
                  <c:v>5.7653480274000302E-4</c:v>
                </c:pt>
                <c:pt idx="28">
                  <c:v>-7.2051259691996439E-4</c:v>
                </c:pt>
                <c:pt idx="29">
                  <c:v>1.961519664999134E-4</c:v>
                </c:pt>
                <c:pt idx="30">
                  <c:v>1.1685793980031891E-5</c:v>
                </c:pt>
                <c:pt idx="31">
                  <c:v>-9.3180736747699999E-4</c:v>
                </c:pt>
                <c:pt idx="32">
                  <c:v>-7.3482925411294531E-4</c:v>
                </c:pt>
                <c:pt idx="33">
                  <c:v>-2.3744646090395621E-4</c:v>
                </c:pt>
                <c:pt idx="34">
                  <c:v>1.2811233227005839E-4</c:v>
                </c:pt>
                <c:pt idx="35">
                  <c:v>-1.3443149948489941E-3</c:v>
                </c:pt>
                <c:pt idx="36">
                  <c:v>2.749138065993861E-5</c:v>
                </c:pt>
                <c:pt idx="37">
                  <c:v>-6.5499651430001027E-4</c:v>
                </c:pt>
                <c:pt idx="38">
                  <c:v>-1.1374881347189E-2</c:v>
                </c:pt>
                <c:pt idx="39">
                  <c:v>4.6226847166996882E-4</c:v>
                </c:pt>
                <c:pt idx="40">
                  <c:v>4.8554809063099391E-3</c:v>
                </c:pt>
                <c:pt idx="41">
                  <c:v>-2.6284256013680012E-3</c:v>
                </c:pt>
                <c:pt idx="42">
                  <c:v>9.4436422303199041E-3</c:v>
                </c:pt>
                <c:pt idx="43">
                  <c:v>-1.007535423768402E-2</c:v>
                </c:pt>
                <c:pt idx="44">
                  <c:v>3.255454240310041E-3</c:v>
                </c:pt>
                <c:pt idx="45">
                  <c:v>-1.082699644500029E-3</c:v>
                </c:pt>
                <c:pt idx="46">
                  <c:v>-2.7122977245299662E-3</c:v>
                </c:pt>
                <c:pt idx="47">
                  <c:v>3.745138638080014E-3</c:v>
                </c:pt>
                <c:pt idx="48">
                  <c:v>5.7373995993299509E-3</c:v>
                </c:pt>
                <c:pt idx="49">
                  <c:v>-7.3575996559810397E-3</c:v>
                </c:pt>
                <c:pt idx="50">
                  <c:v>-4.1372527752303601E-4</c:v>
                </c:pt>
                <c:pt idx="51">
                  <c:v>-1.899493469642022E-3</c:v>
                </c:pt>
                <c:pt idx="52">
                  <c:v>4.232769156180094E-3</c:v>
                </c:pt>
                <c:pt idx="53">
                  <c:v>3.317834918070028E-3</c:v>
                </c:pt>
                <c:pt idx="54">
                  <c:v>-2.88923542001096E-3</c:v>
                </c:pt>
                <c:pt idx="55">
                  <c:v>1.310413322799908E-3</c:v>
                </c:pt>
                <c:pt idx="56">
                  <c:v>1.47273948658011E-3</c:v>
                </c:pt>
                <c:pt idx="57">
                  <c:v>-1.06923560846961E-4</c:v>
                </c:pt>
                <c:pt idx="58">
                  <c:v>2.067826616469981E-3</c:v>
                </c:pt>
                <c:pt idx="59">
                  <c:v>3.025328773980096E-3</c:v>
                </c:pt>
                <c:pt idx="60">
                  <c:v>1.4269576570100639E-3</c:v>
                </c:pt>
                <c:pt idx="61">
                  <c:v>-4.4974935525099458E-4</c:v>
                </c:pt>
                <c:pt idx="62">
                  <c:v>1.8379084581499059E-3</c:v>
                </c:pt>
                <c:pt idx="63">
                  <c:v>-2.0828266346070161E-3</c:v>
                </c:pt>
                <c:pt idx="64">
                  <c:v>-2.3737774026499898E-3</c:v>
                </c:pt>
                <c:pt idx="65">
                  <c:v>-6.3416339027499991E-4</c:v>
                </c:pt>
                <c:pt idx="66">
                  <c:v>1.846480330019995E-3</c:v>
                </c:pt>
                <c:pt idx="67">
                  <c:v>6.0330903063010588E-4</c:v>
                </c:pt>
                <c:pt idx="68">
                  <c:v>8.2054265837006035E-4</c:v>
                </c:pt>
                <c:pt idx="69">
                  <c:v>1.9888125996003761E-4</c:v>
                </c:pt>
                <c:pt idx="70">
                  <c:v>3.1766679524600772E-3</c:v>
                </c:pt>
                <c:pt idx="71">
                  <c:v>7.0058606771599141E-3</c:v>
                </c:pt>
                <c:pt idx="72">
                  <c:v>1.0565125613499801E-3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E-5E4D-B890-F5BB8AE559A4}"/>
            </c:ext>
          </c:extLst>
        </c:ser>
        <c:ser>
          <c:idx val="2"/>
          <c:order val="2"/>
          <c:tx>
            <c:strRef>
              <c:f>GAM!$T$2</c:f>
              <c:strCache>
                <c:ptCount val="1"/>
                <c:pt idx="0">
                  <c:v>IAU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GAM!$T$3:$T$75</c:f>
              <c:numCache>
                <c:formatCode>0%</c:formatCode>
                <c:ptCount val="73"/>
                <c:pt idx="0">
                  <c:v>5.6644358588009425E-4</c:v>
                </c:pt>
                <c:pt idx="1">
                  <c:v>1.636800423473006E-2</c:v>
                </c:pt>
                <c:pt idx="2">
                  <c:v>-8.3736958760459723E-3</c:v>
                </c:pt>
                <c:pt idx="3">
                  <c:v>5.146655090640051E-3</c:v>
                </c:pt>
                <c:pt idx="4">
                  <c:v>-7.2091202889069672E-3</c:v>
                </c:pt>
                <c:pt idx="5">
                  <c:v>3.736644893090002E-3</c:v>
                </c:pt>
                <c:pt idx="6">
                  <c:v>8.0291101902800754E-3</c:v>
                </c:pt>
                <c:pt idx="7">
                  <c:v>-2.027256607827987E-3</c:v>
                </c:pt>
                <c:pt idx="8">
                  <c:v>-1.2119929487689469E-3</c:v>
                </c:pt>
                <c:pt idx="9">
                  <c:v>4.0505933143279993E-2</c:v>
                </c:pt>
                <c:pt idx="10">
                  <c:v>1.474510654009009E-2</c:v>
                </c:pt>
                <c:pt idx="11">
                  <c:v>1.538377720558004E-2</c:v>
                </c:pt>
                <c:pt idx="12">
                  <c:v>4.0603798934429891E-2</c:v>
                </c:pt>
                <c:pt idx="13">
                  <c:v>-1.3750495978399611E-3</c:v>
                </c:pt>
                <c:pt idx="14">
                  <c:v>-9.0264216853389589E-3</c:v>
                </c:pt>
                <c:pt idx="15">
                  <c:v>-1.9885672897101969E-4</c:v>
                </c:pt>
                <c:pt idx="16">
                  <c:v>-9.4462789214559972E-3</c:v>
                </c:pt>
                <c:pt idx="17">
                  <c:v>1.124180202976E-2</c:v>
                </c:pt>
                <c:pt idx="18">
                  <c:v>-4.2315794148779506E-3</c:v>
                </c:pt>
                <c:pt idx="19">
                  <c:v>-7.1010128977959663E-3</c:v>
                </c:pt>
                <c:pt idx="20">
                  <c:v>-7.4694397077601504E-4</c:v>
                </c:pt>
                <c:pt idx="21">
                  <c:v>1.922729803579992E-3</c:v>
                </c:pt>
                <c:pt idx="22">
                  <c:v>4.4395783158099889E-3</c:v>
                </c:pt>
                <c:pt idx="23">
                  <c:v>-9.6324926454289805E-3</c:v>
                </c:pt>
                <c:pt idx="24">
                  <c:v>1.0863016592099759E-3</c:v>
                </c:pt>
                <c:pt idx="25">
                  <c:v>1.560313930060175E-6</c:v>
                </c:pt>
                <c:pt idx="26">
                  <c:v>-1.432910120716002E-3</c:v>
                </c:pt>
                <c:pt idx="27">
                  <c:v>8.3943474583003663E-4</c:v>
                </c:pt>
                <c:pt idx="28">
                  <c:v>-7.7494172391001648E-5</c:v>
                </c:pt>
                <c:pt idx="29">
                  <c:v>2.9494861949899138E-3</c:v>
                </c:pt>
                <c:pt idx="30">
                  <c:v>-1.9363105716729829E-3</c:v>
                </c:pt>
                <c:pt idx="31">
                  <c:v>1.800479119059006E-2</c:v>
                </c:pt>
                <c:pt idx="32">
                  <c:v>3.3524836566700689E-3</c:v>
                </c:pt>
                <c:pt idx="33">
                  <c:v>-7.8381242803100548E-3</c:v>
                </c:pt>
                <c:pt idx="34">
                  <c:v>-1.321368715999705E-2</c:v>
                </c:pt>
                <c:pt idx="35">
                  <c:v>-7.1244050910900247E-3</c:v>
                </c:pt>
                <c:pt idx="36">
                  <c:v>-1.403520276895298E-2</c:v>
                </c:pt>
                <c:pt idx="37">
                  <c:v>-9.7234657502710542E-3</c:v>
                </c:pt>
                <c:pt idx="38">
                  <c:v>-9.2750544087309983E-3</c:v>
                </c:pt>
                <c:pt idx="39">
                  <c:v>-8.0156947566060177E-3</c:v>
                </c:pt>
                <c:pt idx="40">
                  <c:v>2.5934217950849939E-2</c:v>
                </c:pt>
                <c:pt idx="41">
                  <c:v>9.1522505885599514E-3</c:v>
                </c:pt>
                <c:pt idx="42">
                  <c:v>2.1508392299359969E-2</c:v>
                </c:pt>
                <c:pt idx="43">
                  <c:v>-2.158118159043498E-2</c:v>
                </c:pt>
                <c:pt idx="44">
                  <c:v>2.2401625694939978E-2</c:v>
                </c:pt>
                <c:pt idx="45">
                  <c:v>2.5058426862301091E-3</c:v>
                </c:pt>
                <c:pt idx="46">
                  <c:v>-3.9459375714619993E-3</c:v>
                </c:pt>
                <c:pt idx="47">
                  <c:v>-5.9669466086019751E-3</c:v>
                </c:pt>
                <c:pt idx="48">
                  <c:v>4.515546124749914E-3</c:v>
                </c:pt>
                <c:pt idx="49">
                  <c:v>-2.417749756078003E-3</c:v>
                </c:pt>
                <c:pt idx="50">
                  <c:v>-1.0535321106100001E-2</c:v>
                </c:pt>
                <c:pt idx="51">
                  <c:v>8.7681909596799557E-3</c:v>
                </c:pt>
                <c:pt idx="52">
                  <c:v>7.836987537620077E-3</c:v>
                </c:pt>
                <c:pt idx="53">
                  <c:v>3.498921954820045E-3</c:v>
                </c:pt>
                <c:pt idx="54">
                  <c:v>-3.539258827307989E-3</c:v>
                </c:pt>
                <c:pt idx="55">
                  <c:v>1.115377689890007E-3</c:v>
                </c:pt>
                <c:pt idx="56">
                  <c:v>1.175468634832999E-2</c:v>
                </c:pt>
                <c:pt idx="57">
                  <c:v>6.1922544867500928E-3</c:v>
                </c:pt>
                <c:pt idx="58">
                  <c:v>4.2312225152900673E-3</c:v>
                </c:pt>
                <c:pt idx="59">
                  <c:v>9.5175213409959269E-5</c:v>
                </c:pt>
                <c:pt idx="60">
                  <c:v>8.7893772250799973E-3</c:v>
                </c:pt>
                <c:pt idx="61">
                  <c:v>3.809842864249902E-3</c:v>
                </c:pt>
                <c:pt idx="62">
                  <c:v>1.2002485178360001E-2</c:v>
                </c:pt>
                <c:pt idx="63">
                  <c:v>1.20641703695199E-2</c:v>
                </c:pt>
                <c:pt idx="64">
                  <c:v>-1.1083023792234029E-2</c:v>
                </c:pt>
                <c:pt idx="65">
                  <c:v>-4.163236547685023E-3</c:v>
                </c:pt>
                <c:pt idx="66">
                  <c:v>1.414381480904003E-2</c:v>
                </c:pt>
                <c:pt idx="67">
                  <c:v>4.1858986866600834E-3</c:v>
                </c:pt>
                <c:pt idx="68">
                  <c:v>2.7475462087839912E-2</c:v>
                </c:pt>
                <c:pt idx="69">
                  <c:v>1.8186977524399909E-2</c:v>
                </c:pt>
                <c:pt idx="70">
                  <c:v>1.661397033269951E-3</c:v>
                </c:pt>
                <c:pt idx="71">
                  <c:v>2.4737732619699582E-3</c:v>
                </c:pt>
                <c:pt idx="72">
                  <c:v>-1.01065714856996E-3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E-5E4D-B890-F5BB8AE559A4}"/>
            </c:ext>
          </c:extLst>
        </c:ser>
        <c:ser>
          <c:idx val="3"/>
          <c:order val="3"/>
          <c:tx>
            <c:strRef>
              <c:f>GAM!$U$2</c:f>
              <c:strCache>
                <c:ptCount val="1"/>
                <c:pt idx="0">
                  <c:v>VEA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val>
            <c:numRef>
              <c:f>GAM!$U$3:$U$75</c:f>
              <c:numCache>
                <c:formatCode>0%</c:formatCode>
                <c:ptCount val="73"/>
                <c:pt idx="0">
                  <c:v>-1.576093362324005E-3</c:v>
                </c:pt>
                <c:pt idx="1">
                  <c:v>-1.1474039813810231E-3</c:v>
                </c:pt>
                <c:pt idx="2">
                  <c:v>1.8592118098998971E-3</c:v>
                </c:pt>
                <c:pt idx="3">
                  <c:v>2.9740417973700421E-3</c:v>
                </c:pt>
                <c:pt idx="4">
                  <c:v>9.6138589344008096E-4</c:v>
                </c:pt>
                <c:pt idx="5">
                  <c:v>5.8903303076800473E-3</c:v>
                </c:pt>
                <c:pt idx="6">
                  <c:v>-3.2262045230420089E-3</c:v>
                </c:pt>
                <c:pt idx="7">
                  <c:v>-7.1594576184149661E-3</c:v>
                </c:pt>
                <c:pt idx="8">
                  <c:v>-2.1827239836299528E-3</c:v>
                </c:pt>
                <c:pt idx="9">
                  <c:v>1.1899250725200261E-3</c:v>
                </c:pt>
                <c:pt idx="10">
                  <c:v>1.270308307369961E-3</c:v>
                </c:pt>
                <c:pt idx="11">
                  <c:v>1.0232918568600089E-3</c:v>
                </c:pt>
                <c:pt idx="12">
                  <c:v>6.7414775329011078E-4</c:v>
                </c:pt>
                <c:pt idx="13">
                  <c:v>1.2065655290800501E-3</c:v>
                </c:pt>
                <c:pt idx="14">
                  <c:v>-8.0937686830495625E-4</c:v>
                </c:pt>
                <c:pt idx="15">
                  <c:v>-2.6158304495309541E-3</c:v>
                </c:pt>
                <c:pt idx="16">
                  <c:v>7.8882845089400799E-3</c:v>
                </c:pt>
                <c:pt idx="17">
                  <c:v>3.9109361856100033E-3</c:v>
                </c:pt>
                <c:pt idx="18">
                  <c:v>-8.9386153059101137E-4</c:v>
                </c:pt>
                <c:pt idx="19">
                  <c:v>2.5686621692500018E-3</c:v>
                </c:pt>
                <c:pt idx="20">
                  <c:v>2.9183143716500211E-3</c:v>
                </c:pt>
                <c:pt idx="21">
                  <c:v>5.0828411155099404E-3</c:v>
                </c:pt>
                <c:pt idx="22">
                  <c:v>6.1261829025200942E-3</c:v>
                </c:pt>
                <c:pt idx="23">
                  <c:v>-2.0098709326780151E-3</c:v>
                </c:pt>
                <c:pt idx="24">
                  <c:v>9.7742929083000085E-4</c:v>
                </c:pt>
                <c:pt idx="25">
                  <c:v>1.2146444360199289E-3</c:v>
                </c:pt>
                <c:pt idx="26">
                  <c:v>-3.111934790432036E-3</c:v>
                </c:pt>
                <c:pt idx="27">
                  <c:v>3.205217642350044E-3</c:v>
                </c:pt>
                <c:pt idx="28">
                  <c:v>-4.6230366978889936E-3</c:v>
                </c:pt>
                <c:pt idx="29">
                  <c:v>2.6276728718299669E-3</c:v>
                </c:pt>
                <c:pt idx="30">
                  <c:v>-3.1650541577400442E-3</c:v>
                </c:pt>
                <c:pt idx="31">
                  <c:v>-1.6745141515349671E-3</c:v>
                </c:pt>
                <c:pt idx="32">
                  <c:v>-5.5384700968996732E-5</c:v>
                </c:pt>
                <c:pt idx="33">
                  <c:v>-6.1600282275730001E-3</c:v>
                </c:pt>
                <c:pt idx="34">
                  <c:v>2.1081031238801011E-3</c:v>
                </c:pt>
                <c:pt idx="35">
                  <c:v>-8.2152696142580028E-3</c:v>
                </c:pt>
                <c:pt idx="36">
                  <c:v>1.9909641323199172E-3</c:v>
                </c:pt>
                <c:pt idx="37">
                  <c:v>-4.1214526808419638E-3</c:v>
                </c:pt>
                <c:pt idx="38">
                  <c:v>-4.6664042617590162E-3</c:v>
                </c:pt>
                <c:pt idx="39">
                  <c:v>2.4935538682000491E-3</c:v>
                </c:pt>
                <c:pt idx="40">
                  <c:v>1.1078874543269951E-2</c:v>
                </c:pt>
                <c:pt idx="41">
                  <c:v>-3.7694083368340352E-3</c:v>
                </c:pt>
                <c:pt idx="42">
                  <c:v>1.5052848702669991E-2</c:v>
                </c:pt>
                <c:pt idx="43">
                  <c:v>-7.4087624556360421E-3</c:v>
                </c:pt>
                <c:pt idx="44">
                  <c:v>8.3049268434101098E-3</c:v>
                </c:pt>
                <c:pt idx="45">
                  <c:v>7.8780170563799157E-3</c:v>
                </c:pt>
                <c:pt idx="46">
                  <c:v>-1.109963863252705E-2</c:v>
                </c:pt>
                <c:pt idx="47">
                  <c:v>1.073626135640993E-2</c:v>
                </c:pt>
                <c:pt idx="48">
                  <c:v>7.2015690632600826E-3</c:v>
                </c:pt>
                <c:pt idx="49">
                  <c:v>-7.7221410788319567E-3</c:v>
                </c:pt>
                <c:pt idx="50">
                  <c:v>-4.0448673057550399E-3</c:v>
                </c:pt>
                <c:pt idx="51">
                  <c:v>-3.0504642934879871E-3</c:v>
                </c:pt>
                <c:pt idx="52">
                  <c:v>6.3744673453500766E-3</c:v>
                </c:pt>
                <c:pt idx="53">
                  <c:v>6.5925042293100136E-3</c:v>
                </c:pt>
                <c:pt idx="54">
                  <c:v>-1.188577772589516E-4</c:v>
                </c:pt>
                <c:pt idx="55">
                  <c:v>6.4962813216100654E-3</c:v>
                </c:pt>
                <c:pt idx="56">
                  <c:v>9.3970937956500133E-3</c:v>
                </c:pt>
                <c:pt idx="57">
                  <c:v>-8.2680560807120163E-3</c:v>
                </c:pt>
                <c:pt idx="58">
                  <c:v>9.7225309989998898E-3</c:v>
                </c:pt>
                <c:pt idx="59">
                  <c:v>-3.9175466188100527E-3</c:v>
                </c:pt>
                <c:pt idx="60">
                  <c:v>4.079104052020055E-3</c:v>
                </c:pt>
                <c:pt idx="61">
                  <c:v>3.3701867317799121E-3</c:v>
                </c:pt>
                <c:pt idx="62">
                  <c:v>4.7169201104990682E-4</c:v>
                </c:pt>
                <c:pt idx="63">
                  <c:v>-3.0711347838200398E-3</c:v>
                </c:pt>
                <c:pt idx="64">
                  <c:v>-3.7128239927963769E-5</c:v>
                </c:pt>
                <c:pt idx="65">
                  <c:v>-8.3085804371196836E-4</c:v>
                </c:pt>
                <c:pt idx="66">
                  <c:v>1.7168920410499671E-3</c:v>
                </c:pt>
                <c:pt idx="67">
                  <c:v>4.0922407064400979E-3</c:v>
                </c:pt>
                <c:pt idx="68">
                  <c:v>-1.26704259644006E-4</c:v>
                </c:pt>
                <c:pt idx="69">
                  <c:v>5.7115319135299103E-3</c:v>
                </c:pt>
                <c:pt idx="70">
                  <c:v>8.2006518549699869E-3</c:v>
                </c:pt>
                <c:pt idx="71">
                  <c:v>4.6518359403899812E-3</c:v>
                </c:pt>
                <c:pt idx="72">
                  <c:v>-4.330615035258E-3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4E-5E4D-B890-F5BB8AE559A4}"/>
            </c:ext>
          </c:extLst>
        </c:ser>
        <c:ser>
          <c:idx val="4"/>
          <c:order val="4"/>
          <c:tx>
            <c:strRef>
              <c:f>GAM!$V$2</c:f>
              <c:strCache>
                <c:ptCount val="1"/>
                <c:pt idx="0">
                  <c:v>SPY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val>
            <c:numRef>
              <c:f>GAM!$V$3:$V$75</c:f>
              <c:numCache>
                <c:formatCode>0%</c:formatCode>
                <c:ptCount val="73"/>
                <c:pt idx="0">
                  <c:v>1.3872981722800051E-3</c:v>
                </c:pt>
                <c:pt idx="1">
                  <c:v>-2.3043532606129569E-3</c:v>
                </c:pt>
                <c:pt idx="2">
                  <c:v>1.275272904710079E-3</c:v>
                </c:pt>
                <c:pt idx="3">
                  <c:v>2.8504664434800819E-3</c:v>
                </c:pt>
                <c:pt idx="4">
                  <c:v>3.485153947669906E-3</c:v>
                </c:pt>
                <c:pt idx="5">
                  <c:v>9.1156078942500329E-3</c:v>
                </c:pt>
                <c:pt idx="6">
                  <c:v>-3.0317311852900991E-4</c:v>
                </c:pt>
                <c:pt idx="7">
                  <c:v>-2.1440204600476021E-2</c:v>
                </c:pt>
                <c:pt idx="8">
                  <c:v>-1.146960646809703E-2</c:v>
                </c:pt>
                <c:pt idx="9">
                  <c:v>9.893199034360034E-3</c:v>
                </c:pt>
                <c:pt idx="10">
                  <c:v>3.1013765766299E-3</c:v>
                </c:pt>
                <c:pt idx="11">
                  <c:v>1.668253303080069E-3</c:v>
                </c:pt>
                <c:pt idx="12">
                  <c:v>5.9550335792000197E-3</c:v>
                </c:pt>
                <c:pt idx="13">
                  <c:v>8.5544112145599094E-3</c:v>
                </c:pt>
                <c:pt idx="14">
                  <c:v>-9.085840930614042E-3</c:v>
                </c:pt>
                <c:pt idx="15">
                  <c:v>-3.8906195056980231E-3</c:v>
                </c:pt>
                <c:pt idx="16">
                  <c:v>1.40365606680799E-2</c:v>
                </c:pt>
                <c:pt idx="17">
                  <c:v>4.5342360887898892E-3</c:v>
                </c:pt>
                <c:pt idx="18">
                  <c:v>-1.09387311254705E-3</c:v>
                </c:pt>
                <c:pt idx="19">
                  <c:v>4.1002553750799642E-3</c:v>
                </c:pt>
                <c:pt idx="20">
                  <c:v>8.5269823083000684E-3</c:v>
                </c:pt>
                <c:pt idx="21">
                  <c:v>1.2065288198729981E-2</c:v>
                </c:pt>
                <c:pt idx="22">
                  <c:v>1.5384708367600639E-3</c:v>
                </c:pt>
                <c:pt idx="23">
                  <c:v>3.8667406265000541E-3</c:v>
                </c:pt>
                <c:pt idx="24">
                  <c:v>5.655952186210067E-3</c:v>
                </c:pt>
                <c:pt idx="25">
                  <c:v>6.920797585570071E-3</c:v>
                </c:pt>
                <c:pt idx="26">
                  <c:v>-1.4459464432017949E-2</c:v>
                </c:pt>
                <c:pt idx="27">
                  <c:v>1.7890152827779952E-2</c:v>
                </c:pt>
                <c:pt idx="28">
                  <c:v>-2.0124737509209512E-3</c:v>
                </c:pt>
                <c:pt idx="29">
                  <c:v>1.4489195588849981E-2</c:v>
                </c:pt>
                <c:pt idx="30">
                  <c:v>-1.278822224898701E-2</c:v>
                </c:pt>
                <c:pt idx="31">
                  <c:v>-4.8625848252290549E-3</c:v>
                </c:pt>
                <c:pt idx="32">
                  <c:v>2.3275404486600149E-3</c:v>
                </c:pt>
                <c:pt idx="33">
                  <c:v>-1.4132845628957001E-2</c:v>
                </c:pt>
                <c:pt idx="34">
                  <c:v>5.5045061322989142E-4</c:v>
                </c:pt>
                <c:pt idx="35">
                  <c:v>-1.0844848126182031E-2</c:v>
                </c:pt>
                <c:pt idx="36">
                  <c:v>5.8398105914398979E-3</c:v>
                </c:pt>
                <c:pt idx="37">
                  <c:v>-4.8506654315599862E-3</c:v>
                </c:pt>
                <c:pt idx="38">
                  <c:v>-1.528849698293E-2</c:v>
                </c:pt>
                <c:pt idx="39">
                  <c:v>1.4045788778719979E-2</c:v>
                </c:pt>
                <c:pt idx="40">
                  <c:v>9.8296414552700995E-3</c:v>
                </c:pt>
                <c:pt idx="41">
                  <c:v>-9.2184735875120438E-3</c:v>
                </c:pt>
                <c:pt idx="42">
                  <c:v>5.3034773393900716E-3</c:v>
                </c:pt>
                <c:pt idx="43">
                  <c:v>-2.2369711526980529E-3</c:v>
                </c:pt>
                <c:pt idx="44">
                  <c:v>4.5489205550799383E-3</c:v>
                </c:pt>
                <c:pt idx="45">
                  <c:v>2.433572504259907E-3</c:v>
                </c:pt>
                <c:pt idx="46">
                  <c:v>9.0535637200006569E-4</c:v>
                </c:pt>
                <c:pt idx="47">
                  <c:v>1.612983600470996E-2</c:v>
                </c:pt>
                <c:pt idx="48">
                  <c:v>9.0937115605100871E-3</c:v>
                </c:pt>
                <c:pt idx="49">
                  <c:v>-5.571084410953997E-3</c:v>
                </c:pt>
                <c:pt idx="50">
                  <c:v>-1.422692227758404E-2</c:v>
                </c:pt>
                <c:pt idx="51">
                  <c:v>-4.1183782739360186E-3</c:v>
                </c:pt>
                <c:pt idx="52">
                  <c:v>1.8406048464330031E-2</c:v>
                </c:pt>
                <c:pt idx="53">
                  <c:v>1.258177581787989E-2</c:v>
                </c:pt>
                <c:pt idx="54">
                  <c:v>6.104080761109909E-3</c:v>
                </c:pt>
                <c:pt idx="55">
                  <c:v>1.83514639014799E-2</c:v>
                </c:pt>
                <c:pt idx="56">
                  <c:v>1.1200959680089939E-2</c:v>
                </c:pt>
                <c:pt idx="57">
                  <c:v>-1.1372638944261991E-2</c:v>
                </c:pt>
                <c:pt idx="58">
                  <c:v>1.208538285865002E-2</c:v>
                </c:pt>
                <c:pt idx="59">
                  <c:v>1.0424057740229919E-2</c:v>
                </c:pt>
                <c:pt idx="60">
                  <c:v>4.5356193591399308E-3</c:v>
                </c:pt>
                <c:pt idx="61">
                  <c:v>9.2199589390300485E-3</c:v>
                </c:pt>
                <c:pt idx="62">
                  <c:v>2.1451768365299269E-3</c:v>
                </c:pt>
                <c:pt idx="63">
                  <c:v>-2.117286244085026E-3</c:v>
                </c:pt>
                <c:pt idx="64">
                  <c:v>1.0139879229170029E-2</c:v>
                </c:pt>
                <c:pt idx="65">
                  <c:v>-9.5643707312990101E-3</c:v>
                </c:pt>
                <c:pt idx="66">
                  <c:v>9.5946288093200494E-3</c:v>
                </c:pt>
                <c:pt idx="67">
                  <c:v>-4.1227436178380428E-3</c:v>
                </c:pt>
                <c:pt idx="68">
                  <c:v>-1.2892806787039969E-2</c:v>
                </c:pt>
                <c:pt idx="69">
                  <c:v>2.0413207151004359E-4</c:v>
                </c:pt>
                <c:pt idx="70">
                  <c:v>1.9837978760399722E-3</c:v>
                </c:pt>
                <c:pt idx="71">
                  <c:v>4.6386549242800603E-3</c:v>
                </c:pt>
                <c:pt idx="72">
                  <c:v>2.8102486434200499E-3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4E-5E4D-B890-F5BB8AE559A4}"/>
            </c:ext>
          </c:extLst>
        </c:ser>
        <c:ser>
          <c:idx val="5"/>
          <c:order val="5"/>
          <c:tx>
            <c:strRef>
              <c:f>GAM!$W$2</c:f>
              <c:strCache>
                <c:ptCount val="1"/>
                <c:pt idx="0">
                  <c:v>SPTL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val>
            <c:numRef>
              <c:f>GAM!$W$3:$W$75</c:f>
              <c:numCache>
                <c:formatCode>0%</c:formatCode>
                <c:ptCount val="73"/>
                <c:pt idx="0">
                  <c:v>9.0372959777007544E-4</c:v>
                </c:pt>
                <c:pt idx="1">
                  <c:v>4.1213583594029927E-2</c:v>
                </c:pt>
                <c:pt idx="2">
                  <c:v>-8.5233871915479931E-3</c:v>
                </c:pt>
                <c:pt idx="3">
                  <c:v>-2.3529495817370401E-3</c:v>
                </c:pt>
                <c:pt idx="4">
                  <c:v>-7.9760042552101673E-4</c:v>
                </c:pt>
                <c:pt idx="5">
                  <c:v>-3.9349742238180552E-3</c:v>
                </c:pt>
                <c:pt idx="6">
                  <c:v>3.3941302174900212E-3</c:v>
                </c:pt>
                <c:pt idx="7">
                  <c:v>8.122187129190106E-3</c:v>
                </c:pt>
                <c:pt idx="8">
                  <c:v>2.4567260048149912E-2</c:v>
                </c:pt>
                <c:pt idx="9">
                  <c:v>4.7835390028398983E-3</c:v>
                </c:pt>
                <c:pt idx="10">
                  <c:v>-5.5298742363659734E-3</c:v>
                </c:pt>
                <c:pt idx="11">
                  <c:v>4.9723439287996385E-4</c:v>
                </c:pt>
                <c:pt idx="12">
                  <c:v>1.5740479331860069E-2</c:v>
                </c:pt>
                <c:pt idx="13">
                  <c:v>-1.4642248124207001E-2</c:v>
                </c:pt>
                <c:pt idx="14">
                  <c:v>1.9752103452499452E-3</c:v>
                </c:pt>
                <c:pt idx="15">
                  <c:v>-1.261779875781199E-2</c:v>
                </c:pt>
                <c:pt idx="16">
                  <c:v>5.5982614184300061E-3</c:v>
                </c:pt>
                <c:pt idx="17">
                  <c:v>-4.1482509208740082E-3</c:v>
                </c:pt>
                <c:pt idx="18">
                  <c:v>-3.5840162377800411E-3</c:v>
                </c:pt>
                <c:pt idx="19">
                  <c:v>-1.053755124307054E-3</c:v>
                </c:pt>
                <c:pt idx="20">
                  <c:v>-4.9093504926300824E-4</c:v>
                </c:pt>
                <c:pt idx="21">
                  <c:v>9.7976567690061245E-5</c:v>
                </c:pt>
                <c:pt idx="22">
                  <c:v>0</c:v>
                </c:pt>
                <c:pt idx="23">
                  <c:v>1.1873927769001651E-4</c:v>
                </c:pt>
                <c:pt idx="24">
                  <c:v>1.9011288339501049E-3</c:v>
                </c:pt>
                <c:pt idx="25">
                  <c:v>-1.4316478604740059E-3</c:v>
                </c:pt>
                <c:pt idx="26">
                  <c:v>-4.1817323802569861E-3</c:v>
                </c:pt>
                <c:pt idx="27">
                  <c:v>3.381890200399917E-3</c:v>
                </c:pt>
                <c:pt idx="28">
                  <c:v>3.9215062164599246E-3</c:v>
                </c:pt>
                <c:pt idx="29">
                  <c:v>-4.6264220312820514E-3</c:v>
                </c:pt>
                <c:pt idx="30">
                  <c:v>-6.9992263506599714E-3</c:v>
                </c:pt>
                <c:pt idx="31">
                  <c:v>-1.763203532023971E-3</c:v>
                </c:pt>
                <c:pt idx="32">
                  <c:v>-7.4253725414380467E-3</c:v>
                </c:pt>
                <c:pt idx="33">
                  <c:v>-4.475316034111998E-3</c:v>
                </c:pt>
                <c:pt idx="34">
                  <c:v>-9.1513161697298617E-4</c:v>
                </c:pt>
                <c:pt idx="35">
                  <c:v>-1.5002270146302621E-4</c:v>
                </c:pt>
                <c:pt idx="36">
                  <c:v>6.802312723299675E-4</c:v>
                </c:pt>
                <c:pt idx="37">
                  <c:v>-5.3138826830969599E-3</c:v>
                </c:pt>
                <c:pt idx="38">
                  <c:v>-7.26303651126603E-3</c:v>
                </c:pt>
                <c:pt idx="39">
                  <c:v>-6.2508779015499893E-3</c:v>
                </c:pt>
                <c:pt idx="40">
                  <c:v>1.3602420794400769E-3</c:v>
                </c:pt>
                <c:pt idx="41">
                  <c:v>1.5698766799854269E-6</c:v>
                </c:pt>
                <c:pt idx="42">
                  <c:v>1.349114456669964E-3</c:v>
                </c:pt>
                <c:pt idx="43">
                  <c:v>-2.038371311409048E-3</c:v>
                </c:pt>
                <c:pt idx="44">
                  <c:v>1.9258233735899299E-3</c:v>
                </c:pt>
                <c:pt idx="45">
                  <c:v>1.051445090500813E-4</c:v>
                </c:pt>
                <c:pt idx="46">
                  <c:v>-1.8564190123360189E-3</c:v>
                </c:pt>
                <c:pt idx="47">
                  <c:v>2.289465526998935E-4</c:v>
                </c:pt>
                <c:pt idx="48">
                  <c:v>-1.196347611277959E-3</c:v>
                </c:pt>
                <c:pt idx="49">
                  <c:v>-7.507465214090514E-4</c:v>
                </c:pt>
                <c:pt idx="50">
                  <c:v>-1.9210270010594499E-4</c:v>
                </c:pt>
                <c:pt idx="51">
                  <c:v>-1.624647930440482E-4</c:v>
                </c:pt>
                <c:pt idx="52">
                  <c:v>1.7323605479990789E-4</c:v>
                </c:pt>
                <c:pt idx="53">
                  <c:v>1.414526257599302E-4</c:v>
                </c:pt>
                <c:pt idx="54">
                  <c:v>-6.2774852455105279E-4</c:v>
                </c:pt>
                <c:pt idx="55">
                  <c:v>-1.670499072482956E-3</c:v>
                </c:pt>
                <c:pt idx="56">
                  <c:v>3.8046524310009211E-4</c:v>
                </c:pt>
                <c:pt idx="57">
                  <c:v>-1.43211242110397E-3</c:v>
                </c:pt>
                <c:pt idx="58">
                  <c:v>2.7399602581001942E-4</c:v>
                </c:pt>
                <c:pt idx="59">
                  <c:v>1.0926425888002631E-4</c:v>
                </c:pt>
                <c:pt idx="60">
                  <c:v>8.7135253762005149E-4</c:v>
                </c:pt>
                <c:pt idx="61">
                  <c:v>9.077336969700589E-4</c:v>
                </c:pt>
                <c:pt idx="62">
                  <c:v>1.452379590030084E-3</c:v>
                </c:pt>
                <c:pt idx="63">
                  <c:v>-7.6743722461419814E-3</c:v>
                </c:pt>
                <c:pt idx="64">
                  <c:v>-1.8928348629099201E-4</c:v>
                </c:pt>
                <c:pt idx="65">
                  <c:v>-5.0433859439219519E-3</c:v>
                </c:pt>
                <c:pt idx="66">
                  <c:v>2.398490329800218E-4</c:v>
                </c:pt>
                <c:pt idx="67">
                  <c:v>3.3331755079002429E-4</c:v>
                </c:pt>
                <c:pt idx="68">
                  <c:v>-1.371654258503052E-3</c:v>
                </c:pt>
                <c:pt idx="69">
                  <c:v>-1.5970031139019849E-3</c:v>
                </c:pt>
                <c:pt idx="70">
                  <c:v>-3.2591459654429671E-3</c:v>
                </c:pt>
                <c:pt idx="71">
                  <c:v>3.9387299675008869E-4</c:v>
                </c:pt>
                <c:pt idx="72">
                  <c:v>-4.1763235701697298E-4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4E-5E4D-B890-F5BB8AE559A4}"/>
            </c:ext>
          </c:extLst>
        </c:ser>
        <c:ser>
          <c:idx val="6"/>
          <c:order val="6"/>
          <c:tx>
            <c:strRef>
              <c:f>GAM!$X$2</c:f>
              <c:strCache>
                <c:ptCount val="1"/>
                <c:pt idx="0">
                  <c:v>VNQ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GAM!$X$3:$X$75</c:f>
              <c:numCache>
                <c:formatCode>0%</c:formatCode>
                <c:ptCount val="73"/>
                <c:pt idx="0">
                  <c:v>3.7442595116599091E-3</c:v>
                </c:pt>
                <c:pt idx="1">
                  <c:v>6.737816733509927E-3</c:v>
                </c:pt>
                <c:pt idx="2">
                  <c:v>4.5281193294299804E-3</c:v>
                </c:pt>
                <c:pt idx="3">
                  <c:v>3.5150478516901011E-3</c:v>
                </c:pt>
                <c:pt idx="4">
                  <c:v>-4.0690023887269833E-3</c:v>
                </c:pt>
                <c:pt idx="5">
                  <c:v>1.4603658779011039E-4</c:v>
                </c:pt>
                <c:pt idx="6">
                  <c:v>1.322480612020005E-3</c:v>
                </c:pt>
                <c:pt idx="7">
                  <c:v>-1.271877920421405E-2</c:v>
                </c:pt>
                <c:pt idx="8">
                  <c:v>-5.06127006637902E-3</c:v>
                </c:pt>
                <c:pt idx="9">
                  <c:v>-1.1983503290802219E-4</c:v>
                </c:pt>
                <c:pt idx="10">
                  <c:v>1.7416002611003731E-4</c:v>
                </c:pt>
                <c:pt idx="11">
                  <c:v>3.9868440021995077E-4</c:v>
                </c:pt>
                <c:pt idx="12">
                  <c:v>4.8380191764008101E-4</c:v>
                </c:pt>
                <c:pt idx="13">
                  <c:v>4.3390031990053757E-5</c:v>
                </c:pt>
                <c:pt idx="14">
                  <c:v>-2.4917711499194972E-4</c:v>
                </c:pt>
                <c:pt idx="15">
                  <c:v>-1.160619174863986E-3</c:v>
                </c:pt>
                <c:pt idx="16">
                  <c:v>2.8723318419701101E-3</c:v>
                </c:pt>
                <c:pt idx="17">
                  <c:v>1.0074159636699329E-3</c:v>
                </c:pt>
                <c:pt idx="18">
                  <c:v>2.7972741675008628E-4</c:v>
                </c:pt>
                <c:pt idx="19">
                  <c:v>1.475680491870079E-3</c:v>
                </c:pt>
                <c:pt idx="20">
                  <c:v>5.8676142580400548E-3</c:v>
                </c:pt>
                <c:pt idx="21">
                  <c:v>1.315224264129E-2</c:v>
                </c:pt>
                <c:pt idx="22">
                  <c:v>3.1941401804700402E-3</c:v>
                </c:pt>
                <c:pt idx="23">
                  <c:v>6.2655676213199119E-3</c:v>
                </c:pt>
                <c:pt idx="24">
                  <c:v>1.058207811858991E-2</c:v>
                </c:pt>
                <c:pt idx="25">
                  <c:v>4.7617210009300859E-3</c:v>
                </c:pt>
                <c:pt idx="26">
                  <c:v>-1.613667438987498E-2</c:v>
                </c:pt>
                <c:pt idx="27">
                  <c:v>1.652619639632991E-2</c:v>
                </c:pt>
                <c:pt idx="28">
                  <c:v>-6.4417033714120331E-3</c:v>
                </c:pt>
                <c:pt idx="29">
                  <c:v>1.6717415520459911E-2</c:v>
                </c:pt>
                <c:pt idx="30">
                  <c:v>-1.6771216553839952E-2</c:v>
                </c:pt>
                <c:pt idx="31">
                  <c:v>-7.0810547551709568E-3</c:v>
                </c:pt>
                <c:pt idx="32">
                  <c:v>4.5337725731200429E-3</c:v>
                </c:pt>
                <c:pt idx="33">
                  <c:v>-1.0468350504182039E-2</c:v>
                </c:pt>
                <c:pt idx="34">
                  <c:v>-8.8526178254410004E-3</c:v>
                </c:pt>
                <c:pt idx="35">
                  <c:v>-1.1693659078165001E-2</c:v>
                </c:pt>
                <c:pt idx="36">
                  <c:v>9.5785704436399666E-3</c:v>
                </c:pt>
                <c:pt idx="37">
                  <c:v>-9.9156036179970375E-3</c:v>
                </c:pt>
                <c:pt idx="38">
                  <c:v>-1.670093729003197E-2</c:v>
                </c:pt>
                <c:pt idx="39">
                  <c:v>3.5451327871800502E-3</c:v>
                </c:pt>
                <c:pt idx="40">
                  <c:v>5.4541766676299286E-3</c:v>
                </c:pt>
                <c:pt idx="41">
                  <c:v>-2.5286776421590269E-3</c:v>
                </c:pt>
                <c:pt idx="42">
                  <c:v>4.0904952127900351E-3</c:v>
                </c:pt>
                <c:pt idx="43">
                  <c:v>-1.541261548207995E-3</c:v>
                </c:pt>
                <c:pt idx="44">
                  <c:v>-6.6964099465405269E-4</c:v>
                </c:pt>
                <c:pt idx="45">
                  <c:v>-7.9161781035952394E-5</c:v>
                </c:pt>
                <c:pt idx="46">
                  <c:v>-9.8864545843702079E-4</c:v>
                </c:pt>
                <c:pt idx="47">
                  <c:v>6.452105629599636E-4</c:v>
                </c:pt>
                <c:pt idx="48">
                  <c:v>7.6223552480003676E-4</c:v>
                </c:pt>
                <c:pt idx="49">
                  <c:v>-2.1548059331979448E-3</c:v>
                </c:pt>
                <c:pt idx="50">
                  <c:v>-5.5171332347859758E-3</c:v>
                </c:pt>
                <c:pt idx="51">
                  <c:v>-1.679283845071988E-3</c:v>
                </c:pt>
                <c:pt idx="52">
                  <c:v>2.6212682014099542E-3</c:v>
                </c:pt>
                <c:pt idx="53">
                  <c:v>3.9628608344399741E-3</c:v>
                </c:pt>
                <c:pt idx="54">
                  <c:v>-6.6398244443209853E-3</c:v>
                </c:pt>
                <c:pt idx="55">
                  <c:v>2.339923211120087E-3</c:v>
                </c:pt>
                <c:pt idx="56">
                  <c:v>1.5721877625201051E-3</c:v>
                </c:pt>
                <c:pt idx="57">
                  <c:v>-4.9159794396339551E-3</c:v>
                </c:pt>
                <c:pt idx="58">
                  <c:v>9.8052407325011082E-4</c:v>
                </c:pt>
                <c:pt idx="59">
                  <c:v>8.8626637745004011E-4</c:v>
                </c:pt>
                <c:pt idx="60">
                  <c:v>5.5551009042500432E-3</c:v>
                </c:pt>
                <c:pt idx="61">
                  <c:v>7.5522261415299496E-3</c:v>
                </c:pt>
                <c:pt idx="62">
                  <c:v>8.1908327027200301E-3</c:v>
                </c:pt>
                <c:pt idx="63">
                  <c:v>-9.9803359051540141E-3</c:v>
                </c:pt>
                <c:pt idx="64">
                  <c:v>9.0936156955299108E-3</c:v>
                </c:pt>
                <c:pt idx="65">
                  <c:v>-1.855911311664105E-2</c:v>
                </c:pt>
                <c:pt idx="66">
                  <c:v>9.2608999318999352E-4</c:v>
                </c:pt>
                <c:pt idx="67">
                  <c:v>2.5919684572099921E-3</c:v>
                </c:pt>
                <c:pt idx="68">
                  <c:v>-2.8915784745859869E-3</c:v>
                </c:pt>
                <c:pt idx="69">
                  <c:v>-1.6364729057010139E-3</c:v>
                </c:pt>
                <c:pt idx="70">
                  <c:v>6.2576205151998465E-4</c:v>
                </c:pt>
                <c:pt idx="71">
                  <c:v>5.4211810290993867E-4</c:v>
                </c:pt>
                <c:pt idx="72">
                  <c:v>2.5421066545994197E-4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4E-5E4D-B890-F5BB8AE559A4}"/>
            </c:ext>
          </c:extLst>
        </c:ser>
        <c:ser>
          <c:idx val="7"/>
          <c:order val="7"/>
          <c:tx>
            <c:strRef>
              <c:f>GAM!$Y$2</c:f>
              <c:strCache>
                <c:ptCount val="1"/>
                <c:pt idx="0">
                  <c:v>USFR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GAM!$Y$3:$Y$75</c:f>
              <c:numCache>
                <c:formatCode>0%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4E-5E4D-B890-F5BB8AE5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5193840"/>
        <c:axId val="415194320"/>
      </c:barChart>
      <c:catAx>
        <c:axId val="415193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94320"/>
        <c:crosses val="autoZero"/>
        <c:auto val="1"/>
        <c:lblAlgn val="ctr"/>
        <c:lblOffset val="100"/>
        <c:noMultiLvlLbl val="0"/>
      </c:catAx>
      <c:valAx>
        <c:axId val="41519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938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GAM!$AA$3:$AA$76</c:f>
              <c:numCache>
                <c:formatCode>0.0%</c:formatCode>
                <c:ptCount val="74"/>
                <c:pt idx="0">
                  <c:v>1.4683342935173805E-4</c:v>
                </c:pt>
                <c:pt idx="1">
                  <c:v>-8.4468355584074034E-4</c:v>
                </c:pt>
                <c:pt idx="2">
                  <c:v>2.1683577890240467E-4</c:v>
                </c:pt>
                <c:pt idx="3">
                  <c:v>-1.5987568434110838E-5</c:v>
                </c:pt>
                <c:pt idx="4">
                  <c:v>1.0945703872477543E-4</c:v>
                </c:pt>
                <c:pt idx="5">
                  <c:v>-7.8936431242182525E-5</c:v>
                </c:pt>
                <c:pt idx="6">
                  <c:v>4.8022099188412687E-5</c:v>
                </c:pt>
                <c:pt idx="7">
                  <c:v>1.0290762833985861E-4</c:v>
                </c:pt>
                <c:pt idx="8">
                  <c:v>9.0939812180346159E-4</c:v>
                </c:pt>
                <c:pt idx="9">
                  <c:v>-5.9785030544565188E-4</c:v>
                </c:pt>
                <c:pt idx="10">
                  <c:v>1.473725615110423E-4</c:v>
                </c:pt>
                <c:pt idx="11">
                  <c:v>-1.4558888110994053E-4</c:v>
                </c:pt>
                <c:pt idx="12">
                  <c:v>-1.4538933290069167E-3</c:v>
                </c:pt>
                <c:pt idx="13">
                  <c:v>4.7026302138497783E-4</c:v>
                </c:pt>
                <c:pt idx="14">
                  <c:v>6.137572564180252E-5</c:v>
                </c:pt>
                <c:pt idx="15">
                  <c:v>-4.1693435230635151E-5</c:v>
                </c:pt>
                <c:pt idx="16">
                  <c:v>-4.5440316766720557E-4</c:v>
                </c:pt>
                <c:pt idx="17">
                  <c:v>7.0179843795458163E-3</c:v>
                </c:pt>
                <c:pt idx="18">
                  <c:v>8.5803815970741174E-3</c:v>
                </c:pt>
                <c:pt idx="19">
                  <c:v>-6.1508656361284469E-4</c:v>
                </c:pt>
                <c:pt idx="20">
                  <c:v>2.5557146029081216E-3</c:v>
                </c:pt>
                <c:pt idx="21">
                  <c:v>-1.6972479929101766E-3</c:v>
                </c:pt>
                <c:pt idx="22">
                  <c:v>7.577227328601846E-4</c:v>
                </c:pt>
                <c:pt idx="23">
                  <c:v>-2.9623927824168539E-3</c:v>
                </c:pt>
                <c:pt idx="24">
                  <c:v>6.8979702980513299E-4</c:v>
                </c:pt>
                <c:pt idx="25">
                  <c:v>-5.3194361522812886E-5</c:v>
                </c:pt>
                <c:pt idx="26">
                  <c:v>-2.4449636178592443E-4</c:v>
                </c:pt>
                <c:pt idx="27">
                  <c:v>1.9849643547398196E-3</c:v>
                </c:pt>
                <c:pt idx="28">
                  <c:v>-2.0140981414460378E-3</c:v>
                </c:pt>
                <c:pt idx="29">
                  <c:v>2.8595622454875499E-3</c:v>
                </c:pt>
                <c:pt idx="30">
                  <c:v>2.3268994346801325E-3</c:v>
                </c:pt>
                <c:pt idx="31">
                  <c:v>-4.5350683567858298E-3</c:v>
                </c:pt>
                <c:pt idx="32">
                  <c:v>-1.8375230921497711E-3</c:v>
                </c:pt>
                <c:pt idx="33">
                  <c:v>9.6202205757202341E-4</c:v>
                </c:pt>
                <c:pt idx="34">
                  <c:v>6.3829896998910535E-5</c:v>
                </c:pt>
                <c:pt idx="35">
                  <c:v>-1.7170792593105416E-4</c:v>
                </c:pt>
                <c:pt idx="36">
                  <c:v>2.2998399272705731E-5</c:v>
                </c:pt>
                <c:pt idx="37">
                  <c:v>8.2969095327301012E-4</c:v>
                </c:pt>
                <c:pt idx="38">
                  <c:v>-2.0222275915249971E-3</c:v>
                </c:pt>
                <c:pt idx="39">
                  <c:v>-1.3166607498959794E-3</c:v>
                </c:pt>
                <c:pt idx="40">
                  <c:v>6.0010757370698373E-3</c:v>
                </c:pt>
                <c:pt idx="41">
                  <c:v>2.6931499344637899E-3</c:v>
                </c:pt>
                <c:pt idx="42">
                  <c:v>7.1239094000995901E-4</c:v>
                </c:pt>
                <c:pt idx="43">
                  <c:v>-9.1003029195516061E-4</c:v>
                </c:pt>
                <c:pt idx="44">
                  <c:v>1.2645472544660294E-3</c:v>
                </c:pt>
                <c:pt idx="45">
                  <c:v>2.491296726339666E-4</c:v>
                </c:pt>
                <c:pt idx="46">
                  <c:v>-3.8779758715894175E-4</c:v>
                </c:pt>
                <c:pt idx="47">
                  <c:v>1.0647776353776145E-4</c:v>
                </c:pt>
                <c:pt idx="48">
                  <c:v>-6.9664415959789713E-4</c:v>
                </c:pt>
                <c:pt idx="49">
                  <c:v>-1.3166181463218837E-3</c:v>
                </c:pt>
                <c:pt idx="50">
                  <c:v>8.0269849325957654E-5</c:v>
                </c:pt>
                <c:pt idx="51">
                  <c:v>3.9397802050684678E-4</c:v>
                </c:pt>
                <c:pt idx="52">
                  <c:v>-6.7025508639487197E-4</c:v>
                </c:pt>
                <c:pt idx="53">
                  <c:v>8.7428899999283244E-4</c:v>
                </c:pt>
                <c:pt idx="54">
                  <c:v>5.3452767799430645E-6</c:v>
                </c:pt>
                <c:pt idx="55">
                  <c:v>6.1305251913803052E-4</c:v>
                </c:pt>
                <c:pt idx="56">
                  <c:v>-9.8458458901972551E-4</c:v>
                </c:pt>
                <c:pt idx="57">
                  <c:v>5.0600000207113791E-4</c:v>
                </c:pt>
                <c:pt idx="58">
                  <c:v>1.0920482234500518E-3</c:v>
                </c:pt>
                <c:pt idx="59">
                  <c:v>-4.7418258800305431E-4</c:v>
                </c:pt>
                <c:pt idx="60">
                  <c:v>1.8332786509018054E-4</c:v>
                </c:pt>
                <c:pt idx="61">
                  <c:v>-2.1190697401161918E-5</c:v>
                </c:pt>
                <c:pt idx="62">
                  <c:v>-1.2736185019911785E-3</c:v>
                </c:pt>
                <c:pt idx="63">
                  <c:v>-8.264343993481249E-4</c:v>
                </c:pt>
                <c:pt idx="64">
                  <c:v>-5.8576087967906858E-4</c:v>
                </c:pt>
                <c:pt idx="65">
                  <c:v>-5.2572534747397787E-4</c:v>
                </c:pt>
                <c:pt idx="66">
                  <c:v>6.128105477601585E-4</c:v>
                </c:pt>
                <c:pt idx="67">
                  <c:v>2.9370211131243005E-3</c:v>
                </c:pt>
                <c:pt idx="68">
                  <c:v>4.6970909049690729E-4</c:v>
                </c:pt>
                <c:pt idx="69">
                  <c:v>2.0215679561768913E-3</c:v>
                </c:pt>
                <c:pt idx="70">
                  <c:v>-1.429268621192888E-3</c:v>
                </c:pt>
                <c:pt idx="71">
                  <c:v>-3.2959865832006552E-4</c:v>
                </c:pt>
                <c:pt idx="72" formatCode="0.00%">
                  <c:v>-1.5936286391249512E-3</c:v>
                </c:pt>
                <c:pt idx="73" formatCode="0.00%">
                  <c:v>-2.08050463068786E-3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C-8946-9500-42B6D763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566431"/>
        <c:axId val="1584567871"/>
      </c:barChart>
      <c:catAx>
        <c:axId val="158456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67871"/>
        <c:crosses val="autoZero"/>
        <c:auto val="1"/>
        <c:lblAlgn val="ctr"/>
        <c:lblOffset val="100"/>
        <c:noMultiLvlLbl val="0"/>
      </c:catAx>
      <c:valAx>
        <c:axId val="1584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6643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619125</xdr:colOff>
      <xdr:row>20</xdr:row>
      <xdr:rowOff>171450</xdr:rowOff>
    </xdr:from>
    <xdr:to>
      <xdr:col>43</xdr:col>
      <xdr:colOff>381000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242887</xdr:colOff>
      <xdr:row>14</xdr:row>
      <xdr:rowOff>147637</xdr:rowOff>
    </xdr:from>
    <xdr:to>
      <xdr:col>36</xdr:col>
      <xdr:colOff>352425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200025</xdr:colOff>
      <xdr:row>31</xdr:row>
      <xdr:rowOff>14287</xdr:rowOff>
    </xdr:from>
    <xdr:to>
      <xdr:col>35</xdr:col>
      <xdr:colOff>990600</xdr:colOff>
      <xdr:row>45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6"/>
  <sheetViews>
    <sheetView tabSelected="1" topLeftCell="A56" workbookViewId="0">
      <selection activeCell="K72" sqref="K72"/>
    </sheetView>
  </sheetViews>
  <sheetFormatPr baseColWidth="10" defaultColWidth="8.83203125" defaultRowHeight="15" x14ac:dyDescent="0.2"/>
  <cols>
    <col min="1" max="1" width="11.6640625" customWidth="1"/>
    <col min="2" max="2" width="19.5" bestFit="1" customWidth="1"/>
    <col min="3" max="3" width="18" bestFit="1" customWidth="1"/>
    <col min="30" max="30" width="15.83203125" customWidth="1"/>
    <col min="31" max="31" width="14.1640625" customWidth="1"/>
    <col min="35" max="35" width="15.1640625" bestFit="1" customWidth="1"/>
    <col min="36" max="36" width="18.5" bestFit="1" customWidth="1"/>
    <col min="37" max="37" width="13.33203125" bestFit="1" customWidth="1"/>
    <col min="38" max="38" width="14" bestFit="1" customWidth="1"/>
  </cols>
  <sheetData>
    <row r="1" spans="1:38" x14ac:dyDescent="0.2">
      <c r="B1" s="4" t="s">
        <v>0</v>
      </c>
      <c r="D1" s="4" t="s">
        <v>1</v>
      </c>
      <c r="E1" s="13">
        <v>7.4999999999999997E-3</v>
      </c>
      <c r="F1" s="9"/>
      <c r="J1" s="4" t="s">
        <v>2</v>
      </c>
      <c r="R1" t="s">
        <v>3</v>
      </c>
      <c r="Z1" s="10" t="s">
        <v>4</v>
      </c>
      <c r="AA1" s="10" t="s">
        <v>4</v>
      </c>
      <c r="AE1" s="4" t="s">
        <v>5</v>
      </c>
    </row>
    <row r="2" spans="1:38" ht="49.5" customHeight="1" x14ac:dyDescent="0.2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10</v>
      </c>
      <c r="O2" s="7" t="s">
        <v>18</v>
      </c>
      <c r="P2" s="7" t="s">
        <v>19</v>
      </c>
      <c r="Q2" s="7" t="s">
        <v>20</v>
      </c>
      <c r="R2" s="8" t="s">
        <v>14</v>
      </c>
      <c r="S2" s="8" t="s">
        <v>15</v>
      </c>
      <c r="T2" s="8" t="s">
        <v>16</v>
      </c>
      <c r="U2" s="8" t="s">
        <v>17</v>
      </c>
      <c r="V2" s="8" t="s">
        <v>10</v>
      </c>
      <c r="W2" s="8" t="s">
        <v>18</v>
      </c>
      <c r="X2" s="8" t="s">
        <v>19</v>
      </c>
      <c r="Y2" s="8" t="s">
        <v>20</v>
      </c>
      <c r="Z2" s="8"/>
      <c r="AA2" s="8"/>
      <c r="AD2" s="12"/>
      <c r="AE2" s="12" t="s">
        <v>21</v>
      </c>
      <c r="AF2" s="12" t="s">
        <v>22</v>
      </c>
      <c r="AG2" s="12" t="s">
        <v>23</v>
      </c>
      <c r="AH2" s="12" t="s">
        <v>24</v>
      </c>
      <c r="AI2" s="12" t="s">
        <v>25</v>
      </c>
      <c r="AJ2" s="12" t="s">
        <v>26</v>
      </c>
      <c r="AK2" s="12" t="s">
        <v>27</v>
      </c>
      <c r="AL2" s="12" t="s">
        <v>28</v>
      </c>
    </row>
    <row r="3" spans="1:38" x14ac:dyDescent="0.2">
      <c r="A3" s="1">
        <v>43677</v>
      </c>
      <c r="B3" s="15">
        <v>4.12971616329338E-3</v>
      </c>
      <c r="C3" s="15">
        <f t="shared" ref="C3:C34" si="0">+B3-($E$1/12)</f>
        <v>3.5047161632933799E-3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7">
        <v>7.7220826935232396E-3</v>
      </c>
      <c r="K3" s="17">
        <v>2.5894666739779401E-2</v>
      </c>
      <c r="L3" s="17">
        <v>0.28150230848968499</v>
      </c>
      <c r="M3" s="17">
        <v>7.5984343997130999E-2</v>
      </c>
      <c r="N3" s="17">
        <v>0.112279135915614</v>
      </c>
      <c r="O3" s="17">
        <v>0.34873927337379201</v>
      </c>
      <c r="P3" s="17">
        <v>0.14787818879047401</v>
      </c>
      <c r="Q3" s="17">
        <v>0</v>
      </c>
      <c r="R3" s="5">
        <v>-9.280209842799092E-5</v>
      </c>
      <c r="S3" s="5">
        <v>-6.562858141929695E-4</v>
      </c>
      <c r="T3" s="5">
        <v>5.6644358588009425E-4</v>
      </c>
      <c r="U3" s="5">
        <v>-1.576093362324005E-3</v>
      </c>
      <c r="V3" s="5">
        <v>1.3872981722800051E-3</v>
      </c>
      <c r="W3" s="5">
        <v>9.0372959777007544E-4</v>
      </c>
      <c r="X3" s="5">
        <v>3.7442595116599091E-3</v>
      </c>
      <c r="Y3" s="5">
        <v>0</v>
      </c>
      <c r="Z3" s="5">
        <f t="shared" ref="Z3:Z34" si="1">+SUM(R3:Y3)</f>
        <v>4.276549592645118E-3</v>
      </c>
      <c r="AA3" s="6">
        <f t="shared" ref="AA3:AA34" si="2">+Z3-B3</f>
        <v>1.4683342935173805E-4</v>
      </c>
      <c r="AD3" t="s">
        <v>29</v>
      </c>
      <c r="AJ3" s="11">
        <f>_xlfn.STDEV.P(C3:C75)*SQRT(12)</f>
        <v>0.10307161692310915</v>
      </c>
    </row>
    <row r="4" spans="1:38" x14ac:dyDescent="0.2">
      <c r="A4" s="1">
        <v>43708</v>
      </c>
      <c r="B4" s="15">
        <v>6.0316234834519603E-2</v>
      </c>
      <c r="C4" s="15">
        <f t="shared" si="0"/>
        <v>5.9691234834519602E-2</v>
      </c>
      <c r="D4">
        <v>-2.2100000000000002E-2</v>
      </c>
      <c r="E4">
        <v>2.7799999999999998E-2</v>
      </c>
      <c r="F4">
        <v>-1.67E-2</v>
      </c>
      <c r="G4">
        <v>2.8999999999999998E-3</v>
      </c>
      <c r="H4">
        <v>-2.0999999999999999E-3</v>
      </c>
      <c r="I4">
        <v>-7.1000000000000004E-3</v>
      </c>
      <c r="J4" s="3">
        <v>1.1759478708912099E-2</v>
      </c>
      <c r="K4" s="3">
        <v>2.4730059137089099E-2</v>
      </c>
      <c r="L4" s="3">
        <v>0.17687103702336801</v>
      </c>
      <c r="M4" s="3">
        <v>5.5212716816648501E-2</v>
      </c>
      <c r="N4" s="3">
        <v>0.145938119486516</v>
      </c>
      <c r="O4" s="3">
        <v>0.38476254802584098</v>
      </c>
      <c r="P4" s="3">
        <v>0.20072604080162401</v>
      </c>
      <c r="Q4" s="3">
        <v>0</v>
      </c>
      <c r="R4" s="5">
        <v>-4.3392323537805311E-4</v>
      </c>
      <c r="S4" s="5">
        <v>-9.6217280621901935E-4</v>
      </c>
      <c r="T4" s="5">
        <v>1.636800423473006E-2</v>
      </c>
      <c r="U4" s="5">
        <v>-1.1474039813810231E-3</v>
      </c>
      <c r="V4" s="5">
        <v>-2.3043532606129569E-3</v>
      </c>
      <c r="W4" s="5">
        <v>4.1213583594029927E-2</v>
      </c>
      <c r="X4" s="5">
        <v>6.737816733509927E-3</v>
      </c>
      <c r="Y4" s="5">
        <v>0</v>
      </c>
      <c r="Z4" s="5">
        <f t="shared" si="1"/>
        <v>5.9471551278678862E-2</v>
      </c>
      <c r="AA4" s="6">
        <f t="shared" si="2"/>
        <v>-8.4468355584074034E-4</v>
      </c>
      <c r="AD4" t="s">
        <v>12</v>
      </c>
    </row>
    <row r="5" spans="1:38" x14ac:dyDescent="0.2">
      <c r="A5" s="1">
        <v>43738</v>
      </c>
      <c r="B5" s="15">
        <v>-8.9171601155864002E-3</v>
      </c>
      <c r="C5" s="15">
        <f t="shared" si="0"/>
        <v>-9.5421601155864007E-3</v>
      </c>
      <c r="D5">
        <v>2.2499999999999999E-2</v>
      </c>
      <c r="E5">
        <v>-6.1000000000000004E-3</v>
      </c>
      <c r="F5">
        <v>1.95E-2</v>
      </c>
      <c r="G5">
        <v>8.2000000000000007E-3</v>
      </c>
      <c r="H5">
        <v>1.0999999999999999E-2</v>
      </c>
      <c r="I5">
        <v>1.3899999999999999E-2</v>
      </c>
      <c r="J5" s="3">
        <v>6.78146725660966E-3</v>
      </c>
      <c r="K5" s="3">
        <v>2.5951229564220999E-2</v>
      </c>
      <c r="L5" s="3">
        <v>0.230644368035894</v>
      </c>
      <c r="M5" s="3">
        <v>5.7939654505171898E-2</v>
      </c>
      <c r="N5" s="3">
        <v>8.1960764455428894E-2</v>
      </c>
      <c r="O5" s="3">
        <v>0.32266572532570698</v>
      </c>
      <c r="P5" s="3">
        <v>0.27405679085696599</v>
      </c>
      <c r="Q5" s="3">
        <v>0</v>
      </c>
      <c r="R5" s="5">
        <v>7.747287849002582E-5</v>
      </c>
      <c r="S5" s="5">
        <v>4.566818083799884E-4</v>
      </c>
      <c r="T5" s="5">
        <v>-8.3736958760459723E-3</v>
      </c>
      <c r="U5" s="5">
        <v>1.8592118098998971E-3</v>
      </c>
      <c r="V5" s="5">
        <v>1.275272904710079E-3</v>
      </c>
      <c r="W5" s="5">
        <v>-8.5233871915479931E-3</v>
      </c>
      <c r="X5" s="5">
        <v>4.5281193294299804E-3</v>
      </c>
      <c r="Y5" s="5">
        <v>0</v>
      </c>
      <c r="Z5" s="5">
        <f t="shared" si="1"/>
        <v>-8.7003243366839955E-3</v>
      </c>
      <c r="AA5" s="6">
        <f t="shared" si="2"/>
        <v>2.1683577890240467E-4</v>
      </c>
      <c r="AD5" t="s">
        <v>13</v>
      </c>
    </row>
    <row r="6" spans="1:38" x14ac:dyDescent="0.2">
      <c r="A6" s="1">
        <v>43769</v>
      </c>
      <c r="B6" s="15">
        <v>1.28400889063973E-2</v>
      </c>
      <c r="C6" s="15">
        <f t="shared" si="0"/>
        <v>1.22150889063973E-2</v>
      </c>
      <c r="D6">
        <v>2.7400000000000001E-2</v>
      </c>
      <c r="E6">
        <v>2.0999999999999999E-3</v>
      </c>
      <c r="F6">
        <v>2.2100000000000002E-2</v>
      </c>
      <c r="G6">
        <v>1.47E-2</v>
      </c>
      <c r="H6">
        <v>1.7299999999999999E-2</v>
      </c>
      <c r="I6">
        <v>1.9800000000000002E-2</v>
      </c>
      <c r="J6" s="3">
        <v>8.9340105964287007E-3</v>
      </c>
      <c r="K6" s="3">
        <v>1.44439107240839E-2</v>
      </c>
      <c r="L6" s="3">
        <v>0.196531365155583</v>
      </c>
      <c r="M6" s="3">
        <v>8.1345143855003493E-2</v>
      </c>
      <c r="N6" s="3">
        <v>0.113019162834867</v>
      </c>
      <c r="O6" s="3">
        <v>0.23511377361004801</v>
      </c>
      <c r="P6" s="3">
        <v>0.350612633223984</v>
      </c>
      <c r="Q6" s="3">
        <v>1.7763568394002501E-15</v>
      </c>
      <c r="R6" s="5">
        <v>1.7175398846003281E-4</v>
      </c>
      <c r="S6" s="5">
        <v>5.1908574805992203E-4</v>
      </c>
      <c r="T6" s="5">
        <v>5.146655090640051E-3</v>
      </c>
      <c r="U6" s="5">
        <v>2.9740417973700421E-3</v>
      </c>
      <c r="V6" s="5">
        <v>2.8504664434800819E-3</v>
      </c>
      <c r="W6" s="5">
        <v>-2.3529495817370401E-3</v>
      </c>
      <c r="X6" s="5">
        <v>3.5150478516901011E-3</v>
      </c>
      <c r="Y6" s="5">
        <v>0</v>
      </c>
      <c r="Z6" s="5">
        <f t="shared" si="1"/>
        <v>1.282410133796319E-2</v>
      </c>
      <c r="AA6" s="6">
        <f t="shared" si="2"/>
        <v>-1.5987568434110838E-5</v>
      </c>
    </row>
    <row r="7" spans="1:38" x14ac:dyDescent="0.2">
      <c r="A7" s="1">
        <v>43799</v>
      </c>
      <c r="B7" s="15">
        <v>-8.4409199719477305E-3</v>
      </c>
      <c r="C7" s="15">
        <f t="shared" si="0"/>
        <v>-9.065919971947731E-3</v>
      </c>
      <c r="D7">
        <v>2.3400000000000001E-2</v>
      </c>
      <c r="E7">
        <v>-2.9999999999999997E-4</v>
      </c>
      <c r="F7">
        <v>3.6200000000000003E-2</v>
      </c>
      <c r="G7">
        <v>1.15E-2</v>
      </c>
      <c r="H7">
        <v>1.3899999999999999E-2</v>
      </c>
      <c r="I7">
        <v>1.6199999999999999E-2</v>
      </c>
      <c r="J7" s="3">
        <v>1.00698995261841E-2</v>
      </c>
      <c r="K7" s="3">
        <v>5.4685373970065898E-2</v>
      </c>
      <c r="L7" s="3">
        <v>0.22293077636838399</v>
      </c>
      <c r="M7" s="3">
        <v>9.2188162074638397E-2</v>
      </c>
      <c r="N7" s="3">
        <v>8.8972380886929006E-2</v>
      </c>
      <c r="O7" s="3">
        <v>0.16322036830796</v>
      </c>
      <c r="P7" s="3">
        <v>0.367933038865837</v>
      </c>
      <c r="Q7" s="3">
        <v>0</v>
      </c>
      <c r="R7" s="5">
        <v>-3.332524070798204E-5</v>
      </c>
      <c r="S7" s="5">
        <v>-6.6895443046999237E-4</v>
      </c>
      <c r="T7" s="5">
        <v>-7.2091202889069672E-3</v>
      </c>
      <c r="U7" s="5">
        <v>9.6138589344008096E-4</v>
      </c>
      <c r="V7" s="5">
        <v>3.485153947669906E-3</v>
      </c>
      <c r="W7" s="5">
        <v>-7.9760042552101673E-4</v>
      </c>
      <c r="X7" s="5">
        <v>-4.0690023887269833E-3</v>
      </c>
      <c r="Y7" s="5">
        <v>0</v>
      </c>
      <c r="Z7" s="5">
        <f t="shared" si="1"/>
        <v>-8.3314629332229551E-3</v>
      </c>
      <c r="AA7" s="6">
        <f t="shared" si="2"/>
        <v>1.0945703872477543E-4</v>
      </c>
    </row>
    <row r="8" spans="1:38" x14ac:dyDescent="0.2">
      <c r="A8" s="1">
        <v>43830</v>
      </c>
      <c r="B8" s="15">
        <v>2.3112499298054201E-2</v>
      </c>
      <c r="C8" s="15">
        <f t="shared" si="0"/>
        <v>2.24874992980542E-2</v>
      </c>
      <c r="D8">
        <v>3.4299999999999997E-2</v>
      </c>
      <c r="E8">
        <v>-5.0000000000000001E-4</v>
      </c>
      <c r="F8">
        <v>2.9000000000000001E-2</v>
      </c>
      <c r="G8">
        <v>1.6899999999999998E-2</v>
      </c>
      <c r="H8">
        <v>2.0400000000000001E-2</v>
      </c>
      <c r="I8">
        <v>2.3900000000000001E-2</v>
      </c>
      <c r="J8" s="3">
        <v>2.3350985985328601E-2</v>
      </c>
      <c r="K8" s="3">
        <v>8.7434156071111199E-2</v>
      </c>
      <c r="L8" s="3">
        <v>0.105683465778943</v>
      </c>
      <c r="M8" s="3">
        <v>0.181839815869213</v>
      </c>
      <c r="N8" s="3">
        <v>0.26397238941940099</v>
      </c>
      <c r="O8" s="3">
        <v>9.4618079116760706E-2</v>
      </c>
      <c r="P8" s="3">
        <v>0.24310110775924099</v>
      </c>
      <c r="Q8" s="3">
        <v>0</v>
      </c>
      <c r="R8" s="5">
        <v>1.3723332361499361E-3</v>
      </c>
      <c r="S8" s="5">
        <v>6.7075841716699447E-3</v>
      </c>
      <c r="T8" s="5">
        <v>3.736644893090002E-3</v>
      </c>
      <c r="U8" s="5">
        <v>5.8903303076800473E-3</v>
      </c>
      <c r="V8" s="5">
        <v>9.1156078942500329E-3</v>
      </c>
      <c r="W8" s="5">
        <v>-3.9349742238180552E-3</v>
      </c>
      <c r="X8" s="5">
        <v>1.4603658779011039E-4</v>
      </c>
      <c r="Y8" s="5">
        <v>0</v>
      </c>
      <c r="Z8" s="5">
        <f t="shared" si="1"/>
        <v>2.3033562866812018E-2</v>
      </c>
      <c r="AA8" s="6">
        <f t="shared" si="2"/>
        <v>-7.8936431242182525E-5</v>
      </c>
    </row>
    <row r="9" spans="1:38" x14ac:dyDescent="0.2">
      <c r="A9" s="1">
        <v>43861</v>
      </c>
      <c r="B9" s="15">
        <v>-5.2223487058392602E-3</v>
      </c>
      <c r="C9" s="15">
        <f t="shared" si="0"/>
        <v>-5.8473487058392599E-3</v>
      </c>
      <c r="D9">
        <v>-1.44E-2</v>
      </c>
      <c r="E9">
        <v>2.0299999999999999E-2</v>
      </c>
      <c r="F9">
        <v>-4.0000000000000002E-4</v>
      </c>
      <c r="G9">
        <v>3.0000000000000001E-3</v>
      </c>
      <c r="H9">
        <v>-5.0000000000000001E-4</v>
      </c>
      <c r="I9">
        <v>-4.0000000000000001E-3</v>
      </c>
      <c r="J9" s="3">
        <v>7.2556317028528799E-2</v>
      </c>
      <c r="K9" s="3">
        <v>0.12623578489416301</v>
      </c>
      <c r="L9" s="3">
        <v>0.194736743943351</v>
      </c>
      <c r="M9" s="3">
        <v>0.1344034524627</v>
      </c>
      <c r="N9" s="3">
        <v>0.28776077055136601</v>
      </c>
      <c r="O9" s="3">
        <v>3.6856521277134E-2</v>
      </c>
      <c r="P9" s="3">
        <v>0.14745040984275401</v>
      </c>
      <c r="Q9" s="3">
        <v>3.219646771412954E-15</v>
      </c>
      <c r="R9" s="5">
        <v>-6.218084444141958E-3</v>
      </c>
      <c r="S9" s="5">
        <v>-8.1725855407279724E-3</v>
      </c>
      <c r="T9" s="5">
        <v>8.0291101902800754E-3</v>
      </c>
      <c r="U9" s="5">
        <v>-3.2262045230420089E-3</v>
      </c>
      <c r="V9" s="5">
        <v>-3.0317311852900991E-4</v>
      </c>
      <c r="W9" s="5">
        <v>3.3941302174900212E-3</v>
      </c>
      <c r="X9" s="5">
        <v>1.322480612020005E-3</v>
      </c>
      <c r="Y9" s="5">
        <v>0</v>
      </c>
      <c r="Z9" s="5">
        <f t="shared" si="1"/>
        <v>-5.1743266066508475E-3</v>
      </c>
      <c r="AA9" s="6">
        <f t="shared" si="2"/>
        <v>4.8022099188412687E-5</v>
      </c>
    </row>
    <row r="10" spans="1:38" x14ac:dyDescent="0.2">
      <c r="A10" s="1">
        <v>43890</v>
      </c>
      <c r="B10" s="15">
        <v>-3.71720727813648E-2</v>
      </c>
      <c r="C10" s="15">
        <f t="shared" si="0"/>
        <v>-3.77970727813648E-2</v>
      </c>
      <c r="D10">
        <v>-7.4899999999999994E-2</v>
      </c>
      <c r="E10">
        <v>1.5900000000000001E-2</v>
      </c>
      <c r="F10">
        <v>-7.9200000000000007E-2</v>
      </c>
      <c r="G10">
        <v>-2.9499999999999998E-2</v>
      </c>
      <c r="H10">
        <v>-3.8600000000000002E-2</v>
      </c>
      <c r="I10">
        <v>-4.7699999999999999E-2</v>
      </c>
      <c r="J10" s="3">
        <v>0</v>
      </c>
      <c r="K10" s="3">
        <v>4.1043724675995298E-2</v>
      </c>
      <c r="L10" s="3">
        <v>0.292652207414063</v>
      </c>
      <c r="M10" s="3">
        <v>9.6010185078184304E-2</v>
      </c>
      <c r="N10" s="3">
        <v>0.28070246920858299</v>
      </c>
      <c r="O10" s="3">
        <v>0.122754227821591</v>
      </c>
      <c r="P10" s="3">
        <v>0.16683718580158099</v>
      </c>
      <c r="Q10" s="3">
        <v>2.3314683517128291E-15</v>
      </c>
      <c r="R10" s="5">
        <v>-1.2398407543470209E-3</v>
      </c>
      <c r="S10" s="5">
        <v>-6.0581349693500375E-4</v>
      </c>
      <c r="T10" s="5">
        <v>-2.027256607827987E-3</v>
      </c>
      <c r="U10" s="5">
        <v>-7.1594576184149661E-3</v>
      </c>
      <c r="V10" s="5">
        <v>-2.1440204600476021E-2</v>
      </c>
      <c r="W10" s="5">
        <v>8.122187129190106E-3</v>
      </c>
      <c r="X10" s="5">
        <v>-1.271877920421405E-2</v>
      </c>
      <c r="Y10" s="5">
        <v>0</v>
      </c>
      <c r="Z10" s="5">
        <f t="shared" si="1"/>
        <v>-3.7069165153024941E-2</v>
      </c>
      <c r="AA10" s="6">
        <f t="shared" si="2"/>
        <v>1.0290762833985861E-4</v>
      </c>
    </row>
    <row r="11" spans="1:38" x14ac:dyDescent="0.2">
      <c r="A11" s="1">
        <v>43921</v>
      </c>
      <c r="B11" s="15">
        <v>-8.977880223874909E-4</v>
      </c>
      <c r="C11" s="15">
        <f t="shared" si="0"/>
        <v>-1.5227880223874909E-3</v>
      </c>
      <c r="D11">
        <v>-0.1341</v>
      </c>
      <c r="E11">
        <v>-5.3E-3</v>
      </c>
      <c r="F11">
        <v>-0.1246</v>
      </c>
      <c r="G11">
        <v>-6.9699999999999998E-2</v>
      </c>
      <c r="H11">
        <v>-8.2600000000000007E-2</v>
      </c>
      <c r="I11">
        <v>-9.5399999999999999E-2</v>
      </c>
      <c r="J11" s="3">
        <v>0</v>
      </c>
      <c r="K11" s="3">
        <v>3.1605455576283997E-2</v>
      </c>
      <c r="L11" s="3">
        <v>0.40938268304001901</v>
      </c>
      <c r="M11" s="3">
        <v>2.2712153260842902E-2</v>
      </c>
      <c r="N11" s="3">
        <v>0.139982173359671</v>
      </c>
      <c r="O11" s="3">
        <v>0.34342896838707798</v>
      </c>
      <c r="P11" s="3">
        <v>5.2888566376103598E-2</v>
      </c>
      <c r="Q11" s="3">
        <v>0</v>
      </c>
      <c r="R11" s="5">
        <v>0</v>
      </c>
      <c r="S11" s="5">
        <v>-4.6300564818589907E-3</v>
      </c>
      <c r="T11" s="5">
        <v>-1.2119929487689469E-3</v>
      </c>
      <c r="U11" s="5">
        <v>-2.1827239836299528E-3</v>
      </c>
      <c r="V11" s="5">
        <v>-1.146960646809703E-2</v>
      </c>
      <c r="W11" s="5">
        <v>2.4567260048149912E-2</v>
      </c>
      <c r="X11" s="5">
        <v>-5.06127006637902E-3</v>
      </c>
      <c r="Y11" s="5">
        <v>0</v>
      </c>
      <c r="Z11" s="5">
        <f t="shared" si="1"/>
        <v>1.1610099415970687E-5</v>
      </c>
      <c r="AA11" s="6">
        <f t="shared" si="2"/>
        <v>9.0939812180346159E-4</v>
      </c>
    </row>
    <row r="12" spans="1:38" x14ac:dyDescent="0.2">
      <c r="A12" s="1">
        <v>43951</v>
      </c>
      <c r="B12" s="15">
        <v>5.8809486932947602E-2</v>
      </c>
      <c r="C12" s="15">
        <f t="shared" si="0"/>
        <v>5.8184486932947602E-2</v>
      </c>
      <c r="D12">
        <v>9.8299999999999998E-2</v>
      </c>
      <c r="E12">
        <v>1.72E-2</v>
      </c>
      <c r="F12">
        <v>0.127</v>
      </c>
      <c r="G12">
        <v>5.7700000000000001E-2</v>
      </c>
      <c r="H12">
        <v>6.59E-2</v>
      </c>
      <c r="I12">
        <v>7.3999999999999996E-2</v>
      </c>
      <c r="J12" s="3">
        <v>2.54346007560778E-3</v>
      </c>
      <c r="K12" s="3">
        <v>2.6244073649618501E-2</v>
      </c>
      <c r="L12" s="3">
        <v>0.58251648733356098</v>
      </c>
      <c r="M12" s="3">
        <v>1.9845641861515301E-2</v>
      </c>
      <c r="N12" s="3">
        <v>8.7999080647363601E-2</v>
      </c>
      <c r="O12" s="3">
        <v>0.265052537249932</v>
      </c>
      <c r="P12" s="3">
        <v>1.57987191824005E-2</v>
      </c>
      <c r="Q12" s="3">
        <v>0</v>
      </c>
      <c r="R12" s="5">
        <v>8.4880127992903454E-7</v>
      </c>
      <c r="S12" s="5">
        <v>1.9580266061300922E-3</v>
      </c>
      <c r="T12" s="5">
        <v>4.0505933143279993E-2</v>
      </c>
      <c r="U12" s="5">
        <v>1.1899250725200261E-3</v>
      </c>
      <c r="V12" s="5">
        <v>9.893199034360034E-3</v>
      </c>
      <c r="W12" s="5">
        <v>4.7835390028398983E-3</v>
      </c>
      <c r="X12" s="5">
        <v>-1.1983503290802219E-4</v>
      </c>
      <c r="Y12" s="5">
        <v>0</v>
      </c>
      <c r="Z12" s="5">
        <f t="shared" si="1"/>
        <v>5.821163662750195E-2</v>
      </c>
      <c r="AA12" s="6">
        <f t="shared" si="2"/>
        <v>-5.9785030544565188E-4</v>
      </c>
    </row>
    <row r="13" spans="1:38" x14ac:dyDescent="0.2">
      <c r="A13" s="1">
        <v>43982</v>
      </c>
      <c r="B13" s="15">
        <v>1.438E-2</v>
      </c>
      <c r="C13" s="15">
        <f t="shared" si="0"/>
        <v>1.3755E-2</v>
      </c>
      <c r="D13">
        <v>5.0900000000000001E-2</v>
      </c>
      <c r="E13">
        <v>6.7000000000000002E-3</v>
      </c>
      <c r="F13">
        <v>4.7600000000000003E-2</v>
      </c>
      <c r="G13">
        <v>2.8799999999999999E-2</v>
      </c>
      <c r="H13">
        <v>3.3300000000000003E-2</v>
      </c>
      <c r="I13">
        <v>3.7699999999999997E-2</v>
      </c>
      <c r="J13" s="3">
        <v>0</v>
      </c>
      <c r="K13" s="3">
        <v>2.6568275702370501E-2</v>
      </c>
      <c r="L13" s="3">
        <v>0.56025722306131798</v>
      </c>
      <c r="M13" s="3">
        <v>2.24149256954875E-2</v>
      </c>
      <c r="N13" s="3">
        <v>7.5771829920179307E-2</v>
      </c>
      <c r="O13" s="3">
        <v>0.30028840462887701</v>
      </c>
      <c r="P13" s="3">
        <v>1.4699340991767E-2</v>
      </c>
      <c r="Q13" s="3">
        <v>0</v>
      </c>
      <c r="R13" s="5">
        <v>-3.0739832733051031E-5</v>
      </c>
      <c r="S13" s="5">
        <v>7.9703518041007726E-4</v>
      </c>
      <c r="T13" s="5">
        <v>1.474510654009009E-2</v>
      </c>
      <c r="U13" s="5">
        <v>1.270308307369961E-3</v>
      </c>
      <c r="V13" s="5">
        <v>3.1013765766299E-3</v>
      </c>
      <c r="W13" s="5">
        <v>-5.5298742363659734E-3</v>
      </c>
      <c r="X13" s="5">
        <v>1.7416002611003731E-4</v>
      </c>
      <c r="Y13" s="5">
        <v>0</v>
      </c>
      <c r="Z13" s="5">
        <f t="shared" si="1"/>
        <v>1.4527372561511043E-2</v>
      </c>
      <c r="AA13" s="6">
        <f t="shared" si="2"/>
        <v>1.473725615110423E-4</v>
      </c>
    </row>
    <row r="14" spans="1:38" x14ac:dyDescent="0.2">
      <c r="A14" s="1">
        <v>44012</v>
      </c>
      <c r="B14" s="15">
        <v>2.1068489999999999E-2</v>
      </c>
      <c r="C14" s="15">
        <f t="shared" si="0"/>
        <v>2.0443489999999998E-2</v>
      </c>
      <c r="D14">
        <v>2.93E-2</v>
      </c>
      <c r="E14">
        <v>6.6E-3</v>
      </c>
      <c r="F14">
        <v>1.78E-2</v>
      </c>
      <c r="G14">
        <v>1.7999999999999999E-2</v>
      </c>
      <c r="H14">
        <v>2.0199999999999999E-2</v>
      </c>
      <c r="I14">
        <v>2.2499999999999999E-2</v>
      </c>
      <c r="J14" s="3">
        <v>4.0093537753455397E-3</v>
      </c>
      <c r="K14" s="3">
        <v>2.6783705231341201E-2</v>
      </c>
      <c r="L14" s="3">
        <v>0.56837875812057803</v>
      </c>
      <c r="M14" s="3">
        <v>3.6706550390210702E-2</v>
      </c>
      <c r="N14" s="3">
        <v>9.3991159480660794E-2</v>
      </c>
      <c r="O14" s="3">
        <v>0.253810877897793</v>
      </c>
      <c r="P14" s="3">
        <v>1.6319595104068899E-2</v>
      </c>
      <c r="Q14" s="3">
        <v>1.7763568394002501E-15</v>
      </c>
      <c r="R14" s="5">
        <v>1.5821156781004039E-4</v>
      </c>
      <c r="S14" s="5">
        <v>1.793448392459984E-3</v>
      </c>
      <c r="T14" s="5">
        <v>1.538377720558004E-2</v>
      </c>
      <c r="U14" s="5">
        <v>1.0232918568600089E-3</v>
      </c>
      <c r="V14" s="5">
        <v>1.668253303080069E-3</v>
      </c>
      <c r="W14" s="5">
        <v>4.9723439287996385E-4</v>
      </c>
      <c r="X14" s="5">
        <v>3.9868440021995077E-4</v>
      </c>
      <c r="Y14" s="5">
        <v>0</v>
      </c>
      <c r="Z14" s="5">
        <f t="shared" si="1"/>
        <v>2.0922901118890058E-2</v>
      </c>
      <c r="AA14" s="6">
        <f t="shared" si="2"/>
        <v>-1.4558888110994053E-4</v>
      </c>
    </row>
    <row r="15" spans="1:38" x14ac:dyDescent="0.2">
      <c r="A15" s="1">
        <v>44043</v>
      </c>
      <c r="B15" s="15">
        <v>7.1610007898127215E-2</v>
      </c>
      <c r="C15" s="15">
        <f t="shared" si="0"/>
        <v>7.0985007898127214E-2</v>
      </c>
      <c r="D15">
        <v>5.3600000000000002E-2</v>
      </c>
      <c r="E15">
        <v>1.3299999999999999E-2</v>
      </c>
      <c r="F15">
        <v>5.8900000000000001E-2</v>
      </c>
      <c r="G15">
        <v>3.3500000000000002E-2</v>
      </c>
      <c r="H15">
        <v>3.7499999999999999E-2</v>
      </c>
      <c r="I15">
        <v>4.1500000000000002E-2</v>
      </c>
      <c r="J15" s="3">
        <v>3.4942947045932898E-2</v>
      </c>
      <c r="K15" s="3">
        <v>6.9358282860013498E-2</v>
      </c>
      <c r="L15" s="3">
        <v>0.39092355181347999</v>
      </c>
      <c r="M15" s="3">
        <v>3.1691134825778698E-2</v>
      </c>
      <c r="N15" s="3">
        <v>0.105067375029977</v>
      </c>
      <c r="O15" s="3">
        <v>0.36041009569961202</v>
      </c>
      <c r="P15" s="3">
        <v>7.6066127252048497E-3</v>
      </c>
      <c r="Q15" s="3">
        <v>0</v>
      </c>
      <c r="R15" s="5">
        <v>1.497651333540073E-3</v>
      </c>
      <c r="S15" s="5">
        <v>5.2012017191600526E-3</v>
      </c>
      <c r="T15" s="5">
        <v>4.0603798934429891E-2</v>
      </c>
      <c r="U15" s="5">
        <v>6.7414775329011078E-4</v>
      </c>
      <c r="V15" s="5">
        <v>5.9550335792000197E-3</v>
      </c>
      <c r="W15" s="5">
        <v>1.5740479331860069E-2</v>
      </c>
      <c r="X15" s="5">
        <v>4.8380191764008101E-4</v>
      </c>
      <c r="Y15" s="5">
        <v>0</v>
      </c>
      <c r="Z15" s="5">
        <f t="shared" si="1"/>
        <v>7.0156114569120298E-2</v>
      </c>
      <c r="AA15" s="6">
        <f t="shared" si="2"/>
        <v>-1.4538933290069167E-3</v>
      </c>
    </row>
    <row r="16" spans="1:38" x14ac:dyDescent="0.2">
      <c r="A16" s="1">
        <v>44074</v>
      </c>
      <c r="B16" s="15">
        <v>-3.021366659231917E-3</v>
      </c>
      <c r="C16" s="15">
        <f t="shared" si="0"/>
        <v>-3.6463666592319172E-3</v>
      </c>
      <c r="D16">
        <v>6.0299999999999999E-2</v>
      </c>
      <c r="E16">
        <v>-8.2000000000000007E-3</v>
      </c>
      <c r="F16">
        <v>6.9800000000000001E-2</v>
      </c>
      <c r="G16">
        <v>2.5999999999999999E-2</v>
      </c>
      <c r="H16">
        <v>3.2899999999999999E-2</v>
      </c>
      <c r="I16">
        <v>3.9699999999999999E-2</v>
      </c>
      <c r="J16" s="3">
        <v>3.8971274895051401E-2</v>
      </c>
      <c r="K16" s="3">
        <v>6.1630575587764601E-2</v>
      </c>
      <c r="L16" s="3">
        <v>0.46012649677086098</v>
      </c>
      <c r="M16" s="3">
        <v>2.24991487193359E-2</v>
      </c>
      <c r="N16" s="3">
        <v>0.124097429427255</v>
      </c>
      <c r="O16" s="3">
        <v>0.28396774627886801</v>
      </c>
      <c r="P16" s="3">
        <v>8.7073283208630708E-3</v>
      </c>
      <c r="Q16" s="3">
        <v>0</v>
      </c>
      <c r="R16" s="5">
        <v>1.7788612850699881E-3</v>
      </c>
      <c r="S16" s="5">
        <v>1.882966023500021E-3</v>
      </c>
      <c r="T16" s="5">
        <v>-1.3750495978399611E-3</v>
      </c>
      <c r="U16" s="5">
        <v>1.2065655290800501E-3</v>
      </c>
      <c r="V16" s="5">
        <v>8.5544112145599094E-3</v>
      </c>
      <c r="W16" s="5">
        <v>-1.4642248124207001E-2</v>
      </c>
      <c r="X16" s="5">
        <v>4.3390031990053757E-5</v>
      </c>
      <c r="Y16" s="5">
        <v>0</v>
      </c>
      <c r="Z16" s="5">
        <f t="shared" si="1"/>
        <v>-2.5511036378469392E-3</v>
      </c>
      <c r="AA16" s="6">
        <f t="shared" si="2"/>
        <v>4.7026302138497783E-4</v>
      </c>
    </row>
    <row r="17" spans="1:27" x14ac:dyDescent="0.2">
      <c r="A17" s="1">
        <v>44104</v>
      </c>
      <c r="B17" s="15">
        <v>-2.3143672122972751E-2</v>
      </c>
      <c r="C17" s="15">
        <f t="shared" si="0"/>
        <v>-2.3768672122972751E-2</v>
      </c>
      <c r="D17">
        <v>-2.9499999999999998E-2</v>
      </c>
      <c r="E17">
        <v>-1E-3</v>
      </c>
      <c r="F17">
        <v>-3.7400000000000003E-2</v>
      </c>
      <c r="G17">
        <v>-1.52E-2</v>
      </c>
      <c r="H17">
        <v>-1.8100000000000002E-2</v>
      </c>
      <c r="I17">
        <v>-2.0899999999999998E-2</v>
      </c>
      <c r="J17" s="3">
        <v>0.114581917645374</v>
      </c>
      <c r="K17" s="3">
        <v>0.104460997781396</v>
      </c>
      <c r="L17" s="3">
        <v>0.221693332709791</v>
      </c>
      <c r="M17" s="3">
        <v>3.9131149251582197E-2</v>
      </c>
      <c r="N17" s="3">
        <v>0.223537076604232</v>
      </c>
      <c r="O17" s="3">
        <v>0.2858414752356</v>
      </c>
      <c r="P17" s="3">
        <v>1.0754050772021E-2</v>
      </c>
      <c r="Q17" s="3">
        <v>3.8857805861880479E-15</v>
      </c>
      <c r="R17" s="5">
        <v>-4.1898552764469974E-3</v>
      </c>
      <c r="S17" s="5">
        <v>-1.696834866883989E-3</v>
      </c>
      <c r="T17" s="5">
        <v>-9.0264216853389589E-3</v>
      </c>
      <c r="U17" s="5">
        <v>-8.0937686830495625E-4</v>
      </c>
      <c r="V17" s="5">
        <v>-9.085840930614042E-3</v>
      </c>
      <c r="W17" s="5">
        <v>1.9752103452499452E-3</v>
      </c>
      <c r="X17" s="5">
        <v>-2.4917711499194972E-4</v>
      </c>
      <c r="Y17" s="5">
        <v>0</v>
      </c>
      <c r="Z17" s="5">
        <f t="shared" si="1"/>
        <v>-2.3082296397330948E-2</v>
      </c>
      <c r="AA17" s="6">
        <f t="shared" si="2"/>
        <v>6.137572564180252E-5</v>
      </c>
    </row>
    <row r="18" spans="1:27" x14ac:dyDescent="0.2">
      <c r="A18" s="1">
        <v>44135</v>
      </c>
      <c r="B18" s="15">
        <v>-2.2007704818879259E-2</v>
      </c>
      <c r="C18" s="15">
        <f t="shared" si="0"/>
        <v>-2.263270481887926E-2</v>
      </c>
      <c r="D18">
        <v>-2.23E-2</v>
      </c>
      <c r="E18">
        <v>-5.5999999999999999E-3</v>
      </c>
      <c r="F18">
        <v>-2.4899999999999999E-2</v>
      </c>
      <c r="G18">
        <v>-1.3899999999999999E-2</v>
      </c>
      <c r="H18">
        <v>-1.5599999999999999E-2</v>
      </c>
      <c r="I18">
        <v>-1.7299999999999999E-2</v>
      </c>
      <c r="J18" s="3">
        <v>8.9334024963611994E-2</v>
      </c>
      <c r="K18" s="3">
        <v>0.123495931272374</v>
      </c>
      <c r="L18" s="3">
        <v>0.153592958801544</v>
      </c>
      <c r="M18" s="3">
        <v>6.9658659417066601E-2</v>
      </c>
      <c r="N18" s="3">
        <v>0.16991171541382799</v>
      </c>
      <c r="O18" s="3">
        <v>0.36488256793680401</v>
      </c>
      <c r="P18" s="3">
        <v>2.91241421947687E-2</v>
      </c>
      <c r="Q18" s="3">
        <v>2.775557561562891E-15</v>
      </c>
      <c r="R18" s="5">
        <v>-3.1324627293739531E-3</v>
      </c>
      <c r="S18" s="5">
        <v>1.5667890921400309E-3</v>
      </c>
      <c r="T18" s="5">
        <v>-1.9885672897101969E-4</v>
      </c>
      <c r="U18" s="5">
        <v>-2.6158304495309541E-3</v>
      </c>
      <c r="V18" s="5">
        <v>-3.8906195056980231E-3</v>
      </c>
      <c r="W18" s="5">
        <v>-1.261779875781199E-2</v>
      </c>
      <c r="X18" s="5">
        <v>-1.160619174863986E-3</v>
      </c>
      <c r="Y18" s="5">
        <v>0</v>
      </c>
      <c r="Z18" s="5">
        <f t="shared" si="1"/>
        <v>-2.2049398254109894E-2</v>
      </c>
      <c r="AA18" s="6">
        <f t="shared" si="2"/>
        <v>-4.1693435230635151E-5</v>
      </c>
    </row>
    <row r="19" spans="1:27" x14ac:dyDescent="0.2">
      <c r="A19" s="1">
        <v>44165</v>
      </c>
      <c r="B19" s="15">
        <v>4.6013008321161397E-2</v>
      </c>
      <c r="C19" s="15">
        <f t="shared" si="0"/>
        <v>4.5388008321161397E-2</v>
      </c>
      <c r="D19">
        <v>0.1176</v>
      </c>
      <c r="E19">
        <v>1.21E-2</v>
      </c>
      <c r="F19">
        <v>0.10879999999999999</v>
      </c>
      <c r="G19">
        <v>6.4799999999999996E-2</v>
      </c>
      <c r="H19">
        <v>7.5399999999999995E-2</v>
      </c>
      <c r="I19">
        <v>8.5900000000000004E-2</v>
      </c>
      <c r="J19" s="3">
        <v>7.8695406261051995E-2</v>
      </c>
      <c r="K19" s="3">
        <v>0.19927628952847101</v>
      </c>
      <c r="L19" s="3">
        <v>0.18166196958487699</v>
      </c>
      <c r="M19" s="3">
        <v>5.5511468785235003E-2</v>
      </c>
      <c r="N19" s="3">
        <v>0.12720719080915499</v>
      </c>
      <c r="O19" s="3">
        <v>0.32081036588185802</v>
      </c>
      <c r="P19" s="3">
        <v>3.6837309149350198E-2</v>
      </c>
      <c r="Q19" s="3">
        <v>0</v>
      </c>
      <c r="R19" s="5">
        <v>7.9587781037100402E-3</v>
      </c>
      <c r="S19" s="5">
        <v>1.6650667533820052E-2</v>
      </c>
      <c r="T19" s="5">
        <v>-9.4462789214559972E-3</v>
      </c>
      <c r="U19" s="5">
        <v>7.8882845089400799E-3</v>
      </c>
      <c r="V19" s="5">
        <v>1.40365606680799E-2</v>
      </c>
      <c r="W19" s="5">
        <v>5.5982614184300061E-3</v>
      </c>
      <c r="X19" s="5">
        <v>2.8723318419701101E-3</v>
      </c>
      <c r="Y19" s="5">
        <v>0</v>
      </c>
      <c r="Z19" s="5">
        <f t="shared" si="1"/>
        <v>4.5558605153494192E-2</v>
      </c>
      <c r="AA19" s="6">
        <f t="shared" si="2"/>
        <v>-4.5440316766720557E-4</v>
      </c>
    </row>
    <row r="20" spans="1:27" x14ac:dyDescent="0.2">
      <c r="A20" s="1">
        <v>44196</v>
      </c>
      <c r="B20" s="15">
        <v>3.329165789E-2</v>
      </c>
      <c r="C20" s="15">
        <f t="shared" si="0"/>
        <v>3.2666657889999999E-2</v>
      </c>
      <c r="D20">
        <v>4.6899999999999997E-2</v>
      </c>
      <c r="E20">
        <v>8.9999999999999998E-4</v>
      </c>
      <c r="F20">
        <v>3.7100000000000001E-2</v>
      </c>
      <c r="G20">
        <v>2.3900000000000001E-2</v>
      </c>
      <c r="H20">
        <v>2.8500000000000001E-2</v>
      </c>
      <c r="I20">
        <v>3.3099999999999997E-2</v>
      </c>
      <c r="J20" s="3">
        <v>0.132122493555971</v>
      </c>
      <c r="K20" s="3">
        <v>0.245410215933034</v>
      </c>
      <c r="L20" s="3">
        <v>0.16281491745450399</v>
      </c>
      <c r="M20" s="3">
        <v>9.5741396726067907E-2</v>
      </c>
      <c r="N20" s="3">
        <v>0.119814827072122</v>
      </c>
      <c r="O20" s="3">
        <v>0.20056431270233399</v>
      </c>
      <c r="P20" s="3">
        <v>4.3531836555966E-2</v>
      </c>
      <c r="Q20" s="3">
        <v>0</v>
      </c>
      <c r="R20" s="5">
        <v>7.2948480633800994E-3</v>
      </c>
      <c r="S20" s="5">
        <v>1.64686548592099E-2</v>
      </c>
      <c r="T20" s="5">
        <v>1.124180202976E-2</v>
      </c>
      <c r="U20" s="5">
        <v>3.9109361856100033E-3</v>
      </c>
      <c r="V20" s="5">
        <v>4.5342360887898892E-3</v>
      </c>
      <c r="W20" s="5">
        <v>-4.1482509208740082E-3</v>
      </c>
      <c r="X20" s="5">
        <v>1.0074159636699329E-3</v>
      </c>
      <c r="Y20" s="5">
        <v>0</v>
      </c>
      <c r="Z20" s="5">
        <f t="shared" si="1"/>
        <v>4.0309642269545816E-2</v>
      </c>
      <c r="AA20" s="6">
        <f t="shared" si="2"/>
        <v>7.0179843795458163E-3</v>
      </c>
    </row>
    <row r="21" spans="1:27" x14ac:dyDescent="0.2">
      <c r="A21" s="1">
        <v>44227</v>
      </c>
      <c r="B21" s="15">
        <v>-2.89388341E-3</v>
      </c>
      <c r="C21" s="15">
        <f t="shared" si="0"/>
        <v>-3.5188834100000001E-3</v>
      </c>
      <c r="D21">
        <v>-3.0999999999999999E-3</v>
      </c>
      <c r="E21">
        <v>-7.4000000000000003E-3</v>
      </c>
      <c r="F21">
        <v>-1.0200000000000001E-2</v>
      </c>
      <c r="G21">
        <v>-5.3E-3</v>
      </c>
      <c r="H21">
        <v>-4.7999999999999996E-3</v>
      </c>
      <c r="I21">
        <v>-4.4000000000000003E-3</v>
      </c>
      <c r="J21" s="3">
        <v>0.21489034728742801</v>
      </c>
      <c r="K21" s="3">
        <v>0.232435322877697</v>
      </c>
      <c r="L21" s="3">
        <v>0.15085989010591999</v>
      </c>
      <c r="M21" s="3">
        <v>0.114226777956842</v>
      </c>
      <c r="N21" s="3">
        <v>0.134043652062354</v>
      </c>
      <c r="O21" s="3">
        <v>9.6018656807842301E-2</v>
      </c>
      <c r="P21" s="3">
        <v>5.7525352901914101E-2</v>
      </c>
      <c r="Q21" s="3">
        <v>2.55351295663786E-15</v>
      </c>
      <c r="R21" s="5">
        <v>7.6861100714400443E-3</v>
      </c>
      <c r="S21" s="5">
        <v>7.523990994680041E-3</v>
      </c>
      <c r="T21" s="5">
        <v>-4.2315794148779506E-3</v>
      </c>
      <c r="U21" s="5">
        <v>-8.9386153059101137E-4</v>
      </c>
      <c r="V21" s="5">
        <v>-1.09387311254705E-3</v>
      </c>
      <c r="W21" s="5">
        <v>-3.5840162377800411E-3</v>
      </c>
      <c r="X21" s="5">
        <v>2.7972741675008628E-4</v>
      </c>
      <c r="Y21" s="5">
        <v>0</v>
      </c>
      <c r="Z21" s="5">
        <f t="shared" si="1"/>
        <v>5.6864981870741182E-3</v>
      </c>
      <c r="AA21" s="6">
        <f t="shared" si="2"/>
        <v>8.5803815970741174E-3</v>
      </c>
    </row>
    <row r="22" spans="1:27" x14ac:dyDescent="0.2">
      <c r="A22" s="1">
        <v>44255</v>
      </c>
      <c r="B22" s="15">
        <v>3.506364763E-2</v>
      </c>
      <c r="C22" s="15">
        <f t="shared" si="0"/>
        <v>3.4438647629999999E-2</v>
      </c>
      <c r="D22">
        <v>2.29E-2</v>
      </c>
      <c r="E22">
        <v>-1.52E-2</v>
      </c>
      <c r="F22">
        <v>2.7799999999999998E-2</v>
      </c>
      <c r="G22">
        <v>3.8999999999999998E-3</v>
      </c>
      <c r="H22">
        <v>7.7000000000000002E-3</v>
      </c>
      <c r="I22">
        <v>1.15E-2</v>
      </c>
      <c r="J22" s="3">
        <v>0.33543831041753902</v>
      </c>
      <c r="K22" s="3">
        <v>0.17705832341389399</v>
      </c>
      <c r="L22" s="3">
        <v>0.12212447803908601</v>
      </c>
      <c r="M22" s="3">
        <v>0.112435558187643</v>
      </c>
      <c r="N22" s="3">
        <v>0.15813556145712199</v>
      </c>
      <c r="O22" s="3">
        <v>2.04675575389404E-2</v>
      </c>
      <c r="P22" s="3">
        <v>7.4340210945774393E-2</v>
      </c>
      <c r="Q22" s="3">
        <v>0</v>
      </c>
      <c r="R22" s="5">
        <v>3.104036206454008E-2</v>
      </c>
      <c r="S22" s="5">
        <v>3.4183689877500529E-3</v>
      </c>
      <c r="T22" s="5">
        <v>-7.1010128977959663E-3</v>
      </c>
      <c r="U22" s="5">
        <v>2.5686621692500018E-3</v>
      </c>
      <c r="V22" s="5">
        <v>4.1002553750799642E-3</v>
      </c>
      <c r="W22" s="5">
        <v>-1.053755124307054E-3</v>
      </c>
      <c r="X22" s="5">
        <v>1.475680491870079E-3</v>
      </c>
      <c r="Y22" s="5">
        <v>0</v>
      </c>
      <c r="Z22" s="5">
        <f t="shared" si="1"/>
        <v>3.4448561066387155E-2</v>
      </c>
      <c r="AA22" s="6">
        <f t="shared" si="2"/>
        <v>-6.1508656361284469E-4</v>
      </c>
    </row>
    <row r="23" spans="1:27" x14ac:dyDescent="0.2">
      <c r="A23" s="1">
        <v>44286</v>
      </c>
      <c r="B23" s="15">
        <v>1.190545785E-2</v>
      </c>
      <c r="C23" s="15">
        <f t="shared" si="0"/>
        <v>1.128045785E-2</v>
      </c>
      <c r="D23">
        <v>2.8500000000000001E-2</v>
      </c>
      <c r="E23">
        <v>-1.15E-2</v>
      </c>
      <c r="F23">
        <v>4.5400000000000003E-2</v>
      </c>
      <c r="G23">
        <v>8.5000000000000006E-3</v>
      </c>
      <c r="H23">
        <v>1.2500000000000001E-2</v>
      </c>
      <c r="I23">
        <v>1.6500000000000001E-2</v>
      </c>
      <c r="J23" s="3">
        <v>0.35318023210235899</v>
      </c>
      <c r="K23" s="3">
        <v>0.12387633216782599</v>
      </c>
      <c r="L23" s="3">
        <v>5.85445428404495E-2</v>
      </c>
      <c r="M23" s="3">
        <v>0.127967750225121</v>
      </c>
      <c r="N23" s="3">
        <v>0.22624005208231601</v>
      </c>
      <c r="O23" s="3">
        <v>6.1887378023824501E-3</v>
      </c>
      <c r="P23" s="3">
        <v>0.10400235277954301</v>
      </c>
      <c r="Q23" s="3">
        <v>3.1086244689504379E-15</v>
      </c>
      <c r="R23" s="5">
        <v>-2.14149729993296E-3</v>
      </c>
      <c r="S23" s="5">
        <v>5.2763783488996019E-4</v>
      </c>
      <c r="T23" s="5">
        <v>-7.4694397077601504E-4</v>
      </c>
      <c r="U23" s="5">
        <v>2.9183143716500211E-3</v>
      </c>
      <c r="V23" s="5">
        <v>8.5269823083000684E-3</v>
      </c>
      <c r="W23" s="5">
        <v>-4.9093504926300824E-4</v>
      </c>
      <c r="X23" s="5">
        <v>5.8676142580400548E-3</v>
      </c>
      <c r="Y23" s="5">
        <v>0</v>
      </c>
      <c r="Z23" s="5">
        <f t="shared" si="1"/>
        <v>1.4461172452908122E-2</v>
      </c>
      <c r="AA23" s="6">
        <f t="shared" si="2"/>
        <v>2.5557146029081216E-3</v>
      </c>
    </row>
    <row r="24" spans="1:27" x14ac:dyDescent="0.2">
      <c r="A24" s="1">
        <v>44316</v>
      </c>
      <c r="B24" s="15">
        <v>5.3737289009999988E-2</v>
      </c>
      <c r="C24" s="15">
        <f t="shared" si="0"/>
        <v>5.3112289009999987E-2</v>
      </c>
      <c r="D24">
        <v>4.2500000000000003E-2</v>
      </c>
      <c r="E24">
        <v>7.3000000000000001E-3</v>
      </c>
      <c r="F24">
        <v>5.2900000000000003E-2</v>
      </c>
      <c r="G24">
        <v>2.4899999999999999E-2</v>
      </c>
      <c r="H24">
        <v>2.8400000000000002E-2</v>
      </c>
      <c r="I24">
        <v>3.1899999999999998E-2</v>
      </c>
      <c r="J24" s="3">
        <v>0.207519539505122</v>
      </c>
      <c r="K24" s="3">
        <v>0.112546890222867</v>
      </c>
      <c r="L24" s="3">
        <v>5.2924856788299598E-2</v>
      </c>
      <c r="M24" s="3">
        <v>0.20656038946920999</v>
      </c>
      <c r="N24" s="3">
        <v>0.23041407361795599</v>
      </c>
      <c r="O24" s="3">
        <v>0</v>
      </c>
      <c r="P24" s="3">
        <v>0.19003425039654301</v>
      </c>
      <c r="Q24" s="3">
        <v>2.442490654175344E-15</v>
      </c>
      <c r="R24" s="5">
        <v>1.828438726654991E-2</v>
      </c>
      <c r="S24" s="5">
        <v>1.434575423739926E-3</v>
      </c>
      <c r="T24" s="5">
        <v>1.922729803579992E-3</v>
      </c>
      <c r="U24" s="5">
        <v>5.0828411155099404E-3</v>
      </c>
      <c r="V24" s="5">
        <v>1.2065288198729981E-2</v>
      </c>
      <c r="W24" s="5">
        <v>9.7976567690061245E-5</v>
      </c>
      <c r="X24" s="5">
        <v>1.315224264129E-2</v>
      </c>
      <c r="Y24" s="5">
        <v>0</v>
      </c>
      <c r="Z24" s="5">
        <f t="shared" si="1"/>
        <v>5.2040041017089811E-2</v>
      </c>
      <c r="AA24" s="6">
        <f t="shared" si="2"/>
        <v>-1.6972479929101766E-3</v>
      </c>
    </row>
    <row r="25" spans="1:27" x14ac:dyDescent="0.2">
      <c r="A25" s="1">
        <v>44347</v>
      </c>
      <c r="B25" s="15">
        <v>2.3235742689999998E-2</v>
      </c>
      <c r="C25" s="15">
        <f t="shared" si="0"/>
        <v>2.2610742689999998E-2</v>
      </c>
      <c r="D25">
        <v>1.47E-2</v>
      </c>
      <c r="E25">
        <v>2E-3</v>
      </c>
      <c r="F25">
        <v>6.6E-3</v>
      </c>
      <c r="G25">
        <v>8.3999999999999995E-3</v>
      </c>
      <c r="H25">
        <v>9.5999999999999992E-3</v>
      </c>
      <c r="I25">
        <v>1.09E-2</v>
      </c>
      <c r="J25" s="3">
        <v>0.18338540276222001</v>
      </c>
      <c r="K25" s="3">
        <v>8.8667378633400698E-2</v>
      </c>
      <c r="L25" s="3">
        <v>5.9441084636581099E-2</v>
      </c>
      <c r="M25" s="3">
        <v>0.161334306502571</v>
      </c>
      <c r="N25" s="3">
        <v>0.210391018385576</v>
      </c>
      <c r="O25" s="3">
        <v>0</v>
      </c>
      <c r="P25" s="3">
        <v>0.29678080907964899</v>
      </c>
      <c r="Q25" s="3">
        <v>2.109423746787797E-15</v>
      </c>
      <c r="R25" s="5">
        <v>7.2136213545599404E-3</v>
      </c>
      <c r="S25" s="5">
        <v>1.481471832740056E-3</v>
      </c>
      <c r="T25" s="5">
        <v>4.4395783158099889E-3</v>
      </c>
      <c r="U25" s="5">
        <v>6.1261829025200942E-3</v>
      </c>
      <c r="V25" s="5">
        <v>1.5384708367600639E-3</v>
      </c>
      <c r="W25" s="5">
        <v>0</v>
      </c>
      <c r="X25" s="5">
        <v>3.1941401804700402E-3</v>
      </c>
      <c r="Y25" s="5">
        <v>0</v>
      </c>
      <c r="Z25" s="5">
        <f t="shared" si="1"/>
        <v>2.3993465422860183E-2</v>
      </c>
      <c r="AA25" s="6">
        <f t="shared" si="2"/>
        <v>7.577227328601846E-4</v>
      </c>
    </row>
    <row r="26" spans="1:27" x14ac:dyDescent="0.2">
      <c r="A26" s="1">
        <v>44377</v>
      </c>
      <c r="B26" s="15">
        <v>8.96845223E-3</v>
      </c>
      <c r="C26" s="15">
        <f t="shared" si="0"/>
        <v>8.3434522299999994E-3</v>
      </c>
      <c r="D26">
        <v>1.26E-2</v>
      </c>
      <c r="E26">
        <v>8.3000000000000001E-3</v>
      </c>
      <c r="F26">
        <v>2.2499999999999999E-2</v>
      </c>
      <c r="G26">
        <v>1.04E-2</v>
      </c>
      <c r="H26">
        <v>1.09E-2</v>
      </c>
      <c r="I26">
        <v>1.1299999999999999E-2</v>
      </c>
      <c r="J26" s="3">
        <v>0.182249653484202</v>
      </c>
      <c r="K26" s="3">
        <v>8.4741295905381805E-2</v>
      </c>
      <c r="L26" s="3">
        <v>0.138879686453762</v>
      </c>
      <c r="M26" s="3">
        <v>0.18046538786633301</v>
      </c>
      <c r="N26" s="3">
        <v>0.17179979596720599</v>
      </c>
      <c r="O26" s="3">
        <v>2.6827501301147898E-3</v>
      </c>
      <c r="P26" s="3">
        <v>0.23918143019299801</v>
      </c>
      <c r="Q26" s="3">
        <v>2.442490654175344E-15</v>
      </c>
      <c r="R26" s="5">
        <v>6.4654428714900902E-3</v>
      </c>
      <c r="S26" s="5">
        <v>9.3193262869006865E-4</v>
      </c>
      <c r="T26" s="5">
        <v>-9.6324926454289805E-3</v>
      </c>
      <c r="U26" s="5">
        <v>-2.0098709326780151E-3</v>
      </c>
      <c r="V26" s="5">
        <v>3.8667406265000541E-3</v>
      </c>
      <c r="W26" s="5">
        <v>1.1873927769001651E-4</v>
      </c>
      <c r="X26" s="5">
        <v>6.2655676213199119E-3</v>
      </c>
      <c r="Y26" s="5">
        <v>0</v>
      </c>
      <c r="Z26" s="5">
        <f t="shared" si="1"/>
        <v>6.0060594475831461E-3</v>
      </c>
      <c r="AA26" s="6">
        <f t="shared" si="2"/>
        <v>-2.9623927824168539E-3</v>
      </c>
    </row>
    <row r="27" spans="1:27" x14ac:dyDescent="0.2">
      <c r="A27" s="1">
        <v>44408</v>
      </c>
      <c r="B27" s="15">
        <v>1.6745570630000001E-2</v>
      </c>
      <c r="C27" s="15">
        <f t="shared" si="0"/>
        <v>1.6120570630000001E-2</v>
      </c>
      <c r="D27">
        <v>9.1000000000000004E-3</v>
      </c>
      <c r="E27">
        <v>1.12E-2</v>
      </c>
      <c r="F27">
        <v>2.4400000000000002E-2</v>
      </c>
      <c r="G27">
        <v>1.01E-2</v>
      </c>
      <c r="H27">
        <v>9.9000000000000008E-3</v>
      </c>
      <c r="I27">
        <v>9.7000000000000003E-3</v>
      </c>
      <c r="J27" s="3">
        <v>0.26302948434636803</v>
      </c>
      <c r="K27" s="3">
        <v>9.2669795195631496E-2</v>
      </c>
      <c r="L27" s="3">
        <v>2.9447285980049701E-2</v>
      </c>
      <c r="M27" s="3">
        <v>9.6035990418359696E-2</v>
      </c>
      <c r="N27" s="3">
        <v>0.24397969044522599</v>
      </c>
      <c r="O27" s="3">
        <v>5.2085060552952901E-2</v>
      </c>
      <c r="P27" s="3">
        <v>0.22275269306140999</v>
      </c>
      <c r="Q27" s="3">
        <v>2.2204460492503131E-15</v>
      </c>
      <c r="R27" s="5">
        <v>3.1208147120300729E-3</v>
      </c>
      <c r="S27" s="5">
        <v>-5.8883371410149987E-3</v>
      </c>
      <c r="T27" s="5">
        <v>1.0863016592099759E-3</v>
      </c>
      <c r="U27" s="5">
        <v>9.7742929083000085E-4</v>
      </c>
      <c r="V27" s="5">
        <v>5.655952186210067E-3</v>
      </c>
      <c r="W27" s="5">
        <v>1.9011288339501049E-3</v>
      </c>
      <c r="X27" s="5">
        <v>1.058207811858991E-2</v>
      </c>
      <c r="Y27" s="5">
        <v>0</v>
      </c>
      <c r="Z27" s="5">
        <f t="shared" si="1"/>
        <v>1.7435367659805134E-2</v>
      </c>
      <c r="AA27" s="6">
        <f t="shared" si="2"/>
        <v>6.8979702980513299E-4</v>
      </c>
    </row>
    <row r="28" spans="1:27" x14ac:dyDescent="0.2">
      <c r="A28" s="1">
        <v>44439</v>
      </c>
      <c r="B28" s="15">
        <v>8.5832096400000005E-3</v>
      </c>
      <c r="C28" s="15">
        <f t="shared" si="0"/>
        <v>7.95820964E-3</v>
      </c>
      <c r="D28">
        <v>2.1700000000000001E-2</v>
      </c>
      <c r="E28">
        <v>-2E-3</v>
      </c>
      <c r="F28">
        <v>2.98E-2</v>
      </c>
      <c r="G28">
        <v>9.9000000000000008E-3</v>
      </c>
      <c r="H28">
        <v>1.2200000000000001E-2</v>
      </c>
      <c r="I28">
        <v>1.46E-2</v>
      </c>
      <c r="J28" s="3">
        <v>0.19671186523984899</v>
      </c>
      <c r="K28" s="3">
        <v>4.5505445775986003E-2</v>
      </c>
      <c r="L28" s="3">
        <v>4.9007045297260798E-2</v>
      </c>
      <c r="M28" s="3">
        <v>7.6610692422616394E-2</v>
      </c>
      <c r="N28" s="3">
        <v>0.23060589594956801</v>
      </c>
      <c r="O28" s="3">
        <v>0.15736565964759899</v>
      </c>
      <c r="P28" s="3">
        <v>0.24419339566711801</v>
      </c>
      <c r="Q28" s="3">
        <v>2.886579864025407E-15</v>
      </c>
      <c r="R28" s="5">
        <v>-3.9379179669689623E-3</v>
      </c>
      <c r="S28" s="5">
        <v>1.0008577694700089E-3</v>
      </c>
      <c r="T28" s="5">
        <v>1.560313930060175E-6</v>
      </c>
      <c r="U28" s="5">
        <v>1.2146444360199289E-3</v>
      </c>
      <c r="V28" s="5">
        <v>6.920797585570071E-3</v>
      </c>
      <c r="W28" s="5">
        <v>-1.4316478604740059E-3</v>
      </c>
      <c r="X28" s="5">
        <v>4.7617210009300859E-3</v>
      </c>
      <c r="Y28" s="5">
        <v>0</v>
      </c>
      <c r="Z28" s="5">
        <f t="shared" si="1"/>
        <v>8.5300152784771877E-3</v>
      </c>
      <c r="AA28" s="6">
        <f t="shared" si="2"/>
        <v>-5.3194361522812886E-5</v>
      </c>
    </row>
    <row r="29" spans="1:27" x14ac:dyDescent="0.2">
      <c r="A29" s="1">
        <v>44469</v>
      </c>
      <c r="B29" s="15">
        <v>-3.5515192590000001E-2</v>
      </c>
      <c r="C29" s="15">
        <f t="shared" si="0"/>
        <v>-3.6140192590000002E-2</v>
      </c>
      <c r="D29">
        <v>-4.2299999999999997E-2</v>
      </c>
      <c r="E29">
        <v>-9.1999999999999998E-3</v>
      </c>
      <c r="F29">
        <v>-4.6600000000000003E-2</v>
      </c>
      <c r="G29">
        <v>-2.5700000000000001E-2</v>
      </c>
      <c r="H29">
        <v>-2.9000000000000001E-2</v>
      </c>
      <c r="I29">
        <v>-3.2300000000000002E-2</v>
      </c>
      <c r="J29" s="3">
        <v>9.9878851189648094E-2</v>
      </c>
      <c r="K29" s="3">
        <v>3.7465296956512101E-2</v>
      </c>
      <c r="L29" s="3">
        <v>4.46563495969068E-2</v>
      </c>
      <c r="M29" s="3">
        <v>9.0495630331559496E-2</v>
      </c>
      <c r="N29" s="3">
        <v>0.30519792397689299</v>
      </c>
      <c r="O29" s="3">
        <v>0.142486721402662</v>
      </c>
      <c r="P29" s="3">
        <v>0.27981922654581698</v>
      </c>
      <c r="Q29" s="3">
        <v>0</v>
      </c>
      <c r="R29" s="5">
        <v>4.907966631130023E-3</v>
      </c>
      <c r="S29" s="5">
        <v>-1.344939469618001E-3</v>
      </c>
      <c r="T29" s="5">
        <v>-1.432910120716002E-3</v>
      </c>
      <c r="U29" s="5">
        <v>-3.111934790432036E-3</v>
      </c>
      <c r="V29" s="5">
        <v>-1.4459464432017949E-2</v>
      </c>
      <c r="W29" s="5">
        <v>-4.1817323802569861E-3</v>
      </c>
      <c r="X29" s="5">
        <v>-1.613667438987498E-2</v>
      </c>
      <c r="Y29" s="5">
        <v>0</v>
      </c>
      <c r="Z29" s="5">
        <f t="shared" si="1"/>
        <v>-3.5759688951785926E-2</v>
      </c>
      <c r="AA29" s="6">
        <f t="shared" si="2"/>
        <v>-2.4449636178592443E-4</v>
      </c>
    </row>
    <row r="30" spans="1:27" x14ac:dyDescent="0.2">
      <c r="A30" s="1">
        <v>44500</v>
      </c>
      <c r="B30" s="15">
        <v>4.9491011209999998E-2</v>
      </c>
      <c r="C30" s="15">
        <f t="shared" si="0"/>
        <v>4.8866011209999997E-2</v>
      </c>
      <c r="D30">
        <v>5.3900000000000003E-2</v>
      </c>
      <c r="E30">
        <v>-1E-4</v>
      </c>
      <c r="F30">
        <v>7.0199999999999999E-2</v>
      </c>
      <c r="G30">
        <v>2.69E-2</v>
      </c>
      <c r="H30">
        <v>3.2300000000000002E-2</v>
      </c>
      <c r="I30">
        <v>3.7699999999999997E-2</v>
      </c>
      <c r="J30" s="3">
        <v>0.17067897927617101</v>
      </c>
      <c r="K30" s="3">
        <v>5.0038440829245599E-2</v>
      </c>
      <c r="L30" s="3">
        <v>5.86063316253123E-2</v>
      </c>
      <c r="M30" s="3">
        <v>0.103718001603538</v>
      </c>
      <c r="N30" s="3">
        <v>0.252093716036351</v>
      </c>
      <c r="O30" s="3">
        <v>0.143291193091963</v>
      </c>
      <c r="P30" s="3">
        <v>0.22157333753741701</v>
      </c>
      <c r="Q30" s="3">
        <v>1.9984014443252822E-15</v>
      </c>
      <c r="R30" s="5">
        <v>9.0565489493099616E-3</v>
      </c>
      <c r="S30" s="5">
        <v>5.7653480274000302E-4</v>
      </c>
      <c r="T30" s="5">
        <v>8.3943474583003663E-4</v>
      </c>
      <c r="U30" s="5">
        <v>3.205217642350044E-3</v>
      </c>
      <c r="V30" s="5">
        <v>1.7890152827779952E-2</v>
      </c>
      <c r="W30" s="5">
        <v>3.381890200399917E-3</v>
      </c>
      <c r="X30" s="5">
        <v>1.652619639632991E-2</v>
      </c>
      <c r="Y30" s="5">
        <v>0</v>
      </c>
      <c r="Z30" s="5">
        <f t="shared" si="1"/>
        <v>5.1475975564739818E-2</v>
      </c>
      <c r="AA30" s="6">
        <f t="shared" si="2"/>
        <v>1.9849643547398196E-3</v>
      </c>
    </row>
    <row r="31" spans="1:27" x14ac:dyDescent="0.2">
      <c r="A31" s="1">
        <v>44530</v>
      </c>
      <c r="B31" s="15">
        <v>-2.4425509540000001E-2</v>
      </c>
      <c r="C31" s="15">
        <f t="shared" si="0"/>
        <v>-2.5050509540000002E-2</v>
      </c>
      <c r="D31">
        <v>-2.3099999999999999E-2</v>
      </c>
      <c r="E31">
        <v>2.7000000000000001E-3</v>
      </c>
      <c r="F31">
        <v>-8.0000000000000002E-3</v>
      </c>
      <c r="G31">
        <v>-1.0200000000000001E-2</v>
      </c>
      <c r="H31">
        <v>-1.2800000000000001E-2</v>
      </c>
      <c r="I31">
        <v>-1.5299999999999999E-2</v>
      </c>
      <c r="J31" s="3">
        <v>0.18877570891721099</v>
      </c>
      <c r="K31" s="3">
        <v>2.2911408672984301E-2</v>
      </c>
      <c r="L31" s="3">
        <v>3.04623919341829E-2</v>
      </c>
      <c r="M31" s="3">
        <v>0.103498721526527</v>
      </c>
      <c r="N31" s="3">
        <v>0.25015150864818603</v>
      </c>
      <c r="O31" s="3">
        <v>0.14035304269065799</v>
      </c>
      <c r="P31" s="3">
        <v>0.26384721761024899</v>
      </c>
      <c r="Q31" s="3">
        <v>1.7763568394002501E-15</v>
      </c>
      <c r="R31" s="5">
        <v>-1.648589330837302E-2</v>
      </c>
      <c r="S31" s="5">
        <v>-7.2051259691996439E-4</v>
      </c>
      <c r="T31" s="5">
        <v>-7.7494172391001648E-5</v>
      </c>
      <c r="U31" s="5">
        <v>-4.6230366978889936E-3</v>
      </c>
      <c r="V31" s="5">
        <v>-2.0124737509209512E-3</v>
      </c>
      <c r="W31" s="5">
        <v>3.9215062164599246E-3</v>
      </c>
      <c r="X31" s="5">
        <v>-6.4417033714120331E-3</v>
      </c>
      <c r="Y31" s="5">
        <v>0</v>
      </c>
      <c r="Z31" s="5">
        <f t="shared" si="1"/>
        <v>-2.6439607681446039E-2</v>
      </c>
      <c r="AA31" s="6">
        <f t="shared" si="2"/>
        <v>-2.0140981414460378E-3</v>
      </c>
    </row>
    <row r="32" spans="1:27" x14ac:dyDescent="0.2">
      <c r="A32" s="1">
        <v>44561</v>
      </c>
      <c r="B32" s="15">
        <v>3.672058659E-2</v>
      </c>
      <c r="C32" s="15">
        <f t="shared" si="0"/>
        <v>3.6095586589999999E-2</v>
      </c>
      <c r="D32">
        <v>3.9E-2</v>
      </c>
      <c r="E32">
        <v>-3.5999999999999999E-3</v>
      </c>
      <c r="F32">
        <v>4.6300000000000001E-2</v>
      </c>
      <c r="G32">
        <v>1.77E-2</v>
      </c>
      <c r="H32">
        <v>2.1999999999999999E-2</v>
      </c>
      <c r="I32">
        <v>2.6200000000000001E-2</v>
      </c>
      <c r="J32" s="3">
        <v>0.11663844076909401</v>
      </c>
      <c r="K32" s="3">
        <v>9.8552233837072897E-3</v>
      </c>
      <c r="L32" s="3">
        <v>0.101177127309972</v>
      </c>
      <c r="M32" s="3">
        <v>6.4873148174689102E-2</v>
      </c>
      <c r="N32" s="3">
        <v>0.302071514952644</v>
      </c>
      <c r="O32" s="3">
        <v>0.21660144886941801</v>
      </c>
      <c r="P32" s="3">
        <v>0.18878309654047401</v>
      </c>
      <c r="Q32" s="3">
        <v>0</v>
      </c>
      <c r="R32" s="5">
        <v>7.2266487241399169E-3</v>
      </c>
      <c r="S32" s="5">
        <v>1.961519664999134E-4</v>
      </c>
      <c r="T32" s="5">
        <v>2.9494861949899138E-3</v>
      </c>
      <c r="U32" s="5">
        <v>2.6276728718299669E-3</v>
      </c>
      <c r="V32" s="5">
        <v>1.4489195588849981E-2</v>
      </c>
      <c r="W32" s="5">
        <v>-4.6264220312820514E-3</v>
      </c>
      <c r="X32" s="5">
        <v>1.6717415520459911E-2</v>
      </c>
      <c r="Y32" s="5">
        <v>0</v>
      </c>
      <c r="Z32" s="5">
        <f t="shared" si="1"/>
        <v>3.958014883548755E-2</v>
      </c>
      <c r="AA32" s="6">
        <f t="shared" si="2"/>
        <v>2.8595622454875499E-3</v>
      </c>
    </row>
    <row r="33" spans="1:27" x14ac:dyDescent="0.2">
      <c r="A33" s="1">
        <v>44592</v>
      </c>
      <c r="B33" s="15">
        <v>-3.4116189980000003E-2</v>
      </c>
      <c r="C33" s="15">
        <f t="shared" si="0"/>
        <v>-3.4741189980000003E-2</v>
      </c>
      <c r="D33">
        <v>-4.5499999999999999E-2</v>
      </c>
      <c r="E33">
        <v>-0.02</v>
      </c>
      <c r="F33">
        <v>-5.2699999999999997E-2</v>
      </c>
      <c r="G33">
        <v>-3.27E-2</v>
      </c>
      <c r="H33">
        <v>-3.5299999999999998E-2</v>
      </c>
      <c r="I33">
        <v>-3.78E-2</v>
      </c>
      <c r="J33" s="3">
        <v>0.12277390279506301</v>
      </c>
      <c r="K33" s="3">
        <v>7.8769263727483992E-3</v>
      </c>
      <c r="L33" s="3">
        <v>0.20069464020759401</v>
      </c>
      <c r="M33" s="3">
        <v>8.2789157293480201E-2</v>
      </c>
      <c r="N33" s="3">
        <v>0.25060973868966502</v>
      </c>
      <c r="O33" s="3">
        <v>0.132058616336651</v>
      </c>
      <c r="P33" s="3">
        <v>0.203197018304796</v>
      </c>
      <c r="Q33" s="3">
        <v>2.442490654175344E-15</v>
      </c>
      <c r="R33" s="5">
        <v>9.8590535436000604E-3</v>
      </c>
      <c r="S33" s="5">
        <v>1.1685793980031891E-5</v>
      </c>
      <c r="T33" s="5">
        <v>-1.9363105716729829E-3</v>
      </c>
      <c r="U33" s="5">
        <v>-3.1650541577400442E-3</v>
      </c>
      <c r="V33" s="5">
        <v>-1.278822224898701E-2</v>
      </c>
      <c r="W33" s="5">
        <v>-6.9992263506599714E-3</v>
      </c>
      <c r="X33" s="5">
        <v>-1.6771216553839952E-2</v>
      </c>
      <c r="Y33" s="5">
        <v>0</v>
      </c>
      <c r="Z33" s="5">
        <f t="shared" si="1"/>
        <v>-3.178929054531987E-2</v>
      </c>
      <c r="AA33" s="6">
        <f t="shared" si="2"/>
        <v>2.3268994346801325E-3</v>
      </c>
    </row>
    <row r="34" spans="1:27" x14ac:dyDescent="0.2">
      <c r="A34" s="1">
        <v>44620</v>
      </c>
      <c r="B34" s="15">
        <v>1.863908534E-2</v>
      </c>
      <c r="C34" s="15">
        <f t="shared" si="0"/>
        <v>1.801408534E-2</v>
      </c>
      <c r="D34">
        <v>-3.0599999999999999E-2</v>
      </c>
      <c r="E34">
        <v>-1.15E-2</v>
      </c>
      <c r="F34">
        <v>-2.9499999999999998E-2</v>
      </c>
      <c r="G34">
        <v>-2.1000000000000001E-2</v>
      </c>
      <c r="H34">
        <v>-2.29E-2</v>
      </c>
      <c r="I34">
        <v>-2.4899999999999999E-2</v>
      </c>
      <c r="J34" s="3">
        <v>0.19625752129123</v>
      </c>
      <c r="K34" s="3">
        <v>2.01471881819568E-2</v>
      </c>
      <c r="L34" s="3">
        <v>0.29410405081824698</v>
      </c>
      <c r="M34" s="3">
        <v>5.6946077631491898E-2</v>
      </c>
      <c r="N34" s="3">
        <v>0.18167858576017201</v>
      </c>
      <c r="O34" s="3">
        <v>0.100934506505194</v>
      </c>
      <c r="P34" s="3">
        <v>0.14993206981170601</v>
      </c>
      <c r="Q34" s="3">
        <v>2.3314683517128291E-15</v>
      </c>
      <c r="R34" s="5">
        <v>1.241239042406006E-2</v>
      </c>
      <c r="S34" s="5">
        <v>-9.3180736747699999E-4</v>
      </c>
      <c r="T34" s="5">
        <v>1.800479119059006E-2</v>
      </c>
      <c r="U34" s="5">
        <v>-1.6745141515349671E-3</v>
      </c>
      <c r="V34" s="5">
        <v>-4.8625848252290549E-3</v>
      </c>
      <c r="W34" s="5">
        <v>-1.763203532023971E-3</v>
      </c>
      <c r="X34" s="5">
        <v>-7.0810547551709568E-3</v>
      </c>
      <c r="Y34" s="5">
        <v>0</v>
      </c>
      <c r="Z34" s="6">
        <f t="shared" si="1"/>
        <v>1.410401698321417E-2</v>
      </c>
      <c r="AA34" s="6">
        <f t="shared" si="2"/>
        <v>-4.5350683567858298E-3</v>
      </c>
    </row>
    <row r="35" spans="1:27" x14ac:dyDescent="0.2">
      <c r="A35" s="1">
        <v>44651</v>
      </c>
      <c r="B35" s="15">
        <v>2.506007712E-2</v>
      </c>
      <c r="C35" s="15">
        <f t="shared" ref="C35:C66" si="3">+B35-($E$1/12)</f>
        <v>2.4435077119999999E-2</v>
      </c>
      <c r="D35">
        <v>1.9400000000000001E-2</v>
      </c>
      <c r="E35">
        <v>-2.81E-2</v>
      </c>
      <c r="F35">
        <v>3.7600000000000001E-2</v>
      </c>
      <c r="G35">
        <v>-4.4000000000000003E-3</v>
      </c>
      <c r="H35">
        <v>4.0000000000000002E-4</v>
      </c>
      <c r="I35">
        <v>5.1000000000000004E-3</v>
      </c>
      <c r="J35" s="3">
        <v>0.25315881906093601</v>
      </c>
      <c r="K35" s="3">
        <v>2.5669390458756901E-2</v>
      </c>
      <c r="L35" s="3">
        <v>0.387337236481273</v>
      </c>
      <c r="M35" s="3">
        <v>4.01276561114918E-2</v>
      </c>
      <c r="N35" s="3">
        <v>9.1666897592388302E-2</v>
      </c>
      <c r="O35" s="3">
        <v>0.13361736495083601</v>
      </c>
      <c r="P35" s="3">
        <v>6.8422635344315502E-2</v>
      </c>
      <c r="Q35" s="3">
        <v>2.55351295663786E-15</v>
      </c>
      <c r="R35" s="5">
        <v>2.1224343845920091E-2</v>
      </c>
      <c r="S35" s="5">
        <v>-7.3482925411294531E-4</v>
      </c>
      <c r="T35" s="5">
        <v>3.3524836566700689E-3</v>
      </c>
      <c r="U35" s="5">
        <v>-5.5384700968996732E-5</v>
      </c>
      <c r="V35" s="5">
        <v>2.3275404486600149E-3</v>
      </c>
      <c r="W35" s="5">
        <v>-7.4253725414380467E-3</v>
      </c>
      <c r="X35" s="5">
        <v>4.5337725731200429E-3</v>
      </c>
      <c r="Y35" s="5">
        <v>0</v>
      </c>
      <c r="Z35" s="5">
        <f t="shared" ref="Z35:Z66" si="4">+SUM(R35:Y35)</f>
        <v>2.3222554027850228E-2</v>
      </c>
      <c r="AA35" s="6">
        <f t="shared" ref="AA35:AA66" si="5">+Z35-B35</f>
        <v>-1.8375230921497711E-3</v>
      </c>
    </row>
    <row r="36" spans="1:27" x14ac:dyDescent="0.2">
      <c r="A36" s="1">
        <v>44681</v>
      </c>
      <c r="B36" s="15">
        <v>-3.6364616379999999E-2</v>
      </c>
      <c r="C36" s="15">
        <f t="shared" si="3"/>
        <v>-3.698961638E-2</v>
      </c>
      <c r="D36">
        <v>-8.0699999999999994E-2</v>
      </c>
      <c r="E36">
        <v>-3.8100000000000002E-2</v>
      </c>
      <c r="F36">
        <v>-8.7800000000000003E-2</v>
      </c>
      <c r="G36">
        <v>-5.9400000000000001E-2</v>
      </c>
      <c r="H36">
        <v>-6.3600000000000004E-2</v>
      </c>
      <c r="I36">
        <v>-6.7900000000000002E-2</v>
      </c>
      <c r="J36" s="3">
        <v>0.122842605180162</v>
      </c>
      <c r="K36" s="3">
        <v>8.5358927067885493E-3</v>
      </c>
      <c r="L36" s="3">
        <v>0.37147420265546799</v>
      </c>
      <c r="M36" s="3">
        <v>8.5947421399275706E-2</v>
      </c>
      <c r="N36" s="3">
        <v>0.159528162651983</v>
      </c>
      <c r="O36" s="3">
        <v>5.0694657906790501E-2</v>
      </c>
      <c r="P36" s="3">
        <v>0.20097705749952999</v>
      </c>
      <c r="Q36" s="3">
        <v>2.2204460492503131E-15</v>
      </c>
      <c r="R36" s="5">
        <v>7.9095168136100735E-3</v>
      </c>
      <c r="S36" s="5">
        <v>-2.3744646090395621E-4</v>
      </c>
      <c r="T36" s="5">
        <v>-7.8381242803100548E-3</v>
      </c>
      <c r="U36" s="5">
        <v>-6.1600282275730001E-3</v>
      </c>
      <c r="V36" s="5">
        <v>-1.4132845628957001E-2</v>
      </c>
      <c r="W36" s="5">
        <v>-4.475316034111998E-3</v>
      </c>
      <c r="X36" s="5">
        <v>-1.0468350504182039E-2</v>
      </c>
      <c r="Y36" s="5">
        <v>0</v>
      </c>
      <c r="Z36" s="5">
        <f t="shared" si="4"/>
        <v>-3.5402594322427976E-2</v>
      </c>
      <c r="AA36" s="6">
        <f t="shared" si="5"/>
        <v>9.6202205757202341E-4</v>
      </c>
    </row>
    <row r="37" spans="1:27" x14ac:dyDescent="0.2">
      <c r="A37" s="1">
        <v>44712</v>
      </c>
      <c r="B37" s="15">
        <v>-1.441409102E-2</v>
      </c>
      <c r="C37" s="15">
        <f t="shared" si="3"/>
        <v>-1.5039091020000001E-2</v>
      </c>
      <c r="D37">
        <v>4.4999999999999997E-3</v>
      </c>
      <c r="E37">
        <v>7.6E-3</v>
      </c>
      <c r="F37">
        <v>2.3E-3</v>
      </c>
      <c r="G37">
        <v>6.0000000000000001E-3</v>
      </c>
      <c r="H37">
        <v>5.7000000000000002E-3</v>
      </c>
      <c r="I37">
        <v>5.4000000000000003E-3</v>
      </c>
      <c r="J37" s="3">
        <v>0.117960669154869</v>
      </c>
      <c r="K37" s="3">
        <v>1.4463692059127399E-2</v>
      </c>
      <c r="L37" s="3">
        <v>0.43003580517129297</v>
      </c>
      <c r="M37" s="3">
        <v>9.2890957456835496E-2</v>
      </c>
      <c r="N37" s="3">
        <v>0.114659604831228</v>
      </c>
      <c r="O37" s="3">
        <v>2.3466516572661501E-2</v>
      </c>
      <c r="P37" s="3">
        <v>0.20652275475398299</v>
      </c>
      <c r="Q37" s="3">
        <v>2.6645352591003761E-15</v>
      </c>
      <c r="R37" s="5">
        <v>5.8445094100298967E-3</v>
      </c>
      <c r="S37" s="5">
        <v>1.2811233227005839E-4</v>
      </c>
      <c r="T37" s="5">
        <v>-1.321368715999705E-2</v>
      </c>
      <c r="U37" s="5">
        <v>2.1081031238801011E-3</v>
      </c>
      <c r="V37" s="5">
        <v>5.5045061322989142E-4</v>
      </c>
      <c r="W37" s="5">
        <v>-9.1513161697298617E-4</v>
      </c>
      <c r="X37" s="5">
        <v>-8.8526178254410004E-3</v>
      </c>
      <c r="Y37" s="5">
        <v>0</v>
      </c>
      <c r="Z37" s="5">
        <f t="shared" si="4"/>
        <v>-1.435026112300109E-2</v>
      </c>
      <c r="AA37" s="6">
        <f t="shared" si="5"/>
        <v>6.3829896998910535E-5</v>
      </c>
    </row>
    <row r="38" spans="1:27" x14ac:dyDescent="0.2">
      <c r="A38" s="1">
        <v>44742</v>
      </c>
      <c r="B38" s="15">
        <v>-4.9344533789999999E-2</v>
      </c>
      <c r="C38" s="15">
        <f t="shared" si="3"/>
        <v>-4.9969533789999999E-2</v>
      </c>
      <c r="D38">
        <v>-8.09E-2</v>
      </c>
      <c r="E38">
        <v>-1.55E-2</v>
      </c>
      <c r="F38">
        <v>-8.2500000000000004E-2</v>
      </c>
      <c r="G38">
        <v>-4.82E-2</v>
      </c>
      <c r="H38">
        <v>-5.4699999999999999E-2</v>
      </c>
      <c r="I38">
        <v>-6.13E-2</v>
      </c>
      <c r="J38" s="3">
        <v>0.126942350724113</v>
      </c>
      <c r="K38" s="3">
        <v>2.8134832824093001E-2</v>
      </c>
      <c r="L38" s="3">
        <v>0.43584313462491098</v>
      </c>
      <c r="M38" s="3">
        <v>9.3305509072945103E-2</v>
      </c>
      <c r="N38" s="3">
        <v>0.13420502338572499</v>
      </c>
      <c r="O38" s="3">
        <v>1.21835060028005E-2</v>
      </c>
      <c r="P38" s="3">
        <v>0.16938564336541001</v>
      </c>
      <c r="Q38" s="3">
        <v>2.442490654175344E-15</v>
      </c>
      <c r="R38" s="5">
        <v>-1.014372210992398E-2</v>
      </c>
      <c r="S38" s="5">
        <v>-1.3443149948489941E-3</v>
      </c>
      <c r="T38" s="5">
        <v>-7.1244050910900247E-3</v>
      </c>
      <c r="U38" s="5">
        <v>-8.2152696142580028E-3</v>
      </c>
      <c r="V38" s="5">
        <v>-1.0844848126182031E-2</v>
      </c>
      <c r="W38" s="5">
        <v>-1.5002270146302621E-4</v>
      </c>
      <c r="X38" s="5">
        <v>-1.1693659078165001E-2</v>
      </c>
      <c r="Y38" s="5">
        <v>0</v>
      </c>
      <c r="Z38" s="5">
        <f t="shared" si="4"/>
        <v>-4.9516241715931053E-2</v>
      </c>
      <c r="AA38" s="6">
        <f t="shared" si="5"/>
        <v>-1.7170792593105416E-4</v>
      </c>
    </row>
    <row r="39" spans="1:27" x14ac:dyDescent="0.2">
      <c r="A39" s="1">
        <v>44773</v>
      </c>
      <c r="B39" s="15">
        <v>1.035752E-4</v>
      </c>
      <c r="C39" s="15">
        <f t="shared" si="3"/>
        <v>-5.2142479999999999E-4</v>
      </c>
      <c r="D39">
        <v>7.0699999999999999E-2</v>
      </c>
      <c r="E39">
        <v>2.5399999999999999E-2</v>
      </c>
      <c r="F39">
        <v>9.2100000000000001E-2</v>
      </c>
      <c r="G39">
        <v>4.8000000000000001E-2</v>
      </c>
      <c r="H39">
        <v>5.2600000000000001E-2</v>
      </c>
      <c r="I39">
        <v>5.7099999999999998E-2</v>
      </c>
      <c r="J39" s="3">
        <v>0.193024200557051</v>
      </c>
      <c r="K39" s="3">
        <v>5.2838460245375599E-2</v>
      </c>
      <c r="L39" s="3">
        <v>0.53736494409825897</v>
      </c>
      <c r="M39" s="3">
        <v>3.4151911150364797E-2</v>
      </c>
      <c r="N39" s="3">
        <v>5.3270418271966602E-2</v>
      </c>
      <c r="O39" s="3">
        <v>3.8972779720961699E-2</v>
      </c>
      <c r="P39" s="3">
        <v>9.0377285956020501E-2</v>
      </c>
      <c r="Q39" s="3">
        <v>0</v>
      </c>
      <c r="R39" s="5">
        <v>-3.9552914521640004E-3</v>
      </c>
      <c r="S39" s="5">
        <v>2.749138065993861E-5</v>
      </c>
      <c r="T39" s="5">
        <v>-1.403520276895298E-2</v>
      </c>
      <c r="U39" s="5">
        <v>1.9909641323199172E-3</v>
      </c>
      <c r="V39" s="5">
        <v>5.8398105914398979E-3</v>
      </c>
      <c r="W39" s="5">
        <v>6.802312723299675E-4</v>
      </c>
      <c r="X39" s="5">
        <v>9.5785704436399666E-3</v>
      </c>
      <c r="Y39" s="5">
        <v>0</v>
      </c>
      <c r="Z39" s="5">
        <f t="shared" si="4"/>
        <v>1.2657359927270573E-4</v>
      </c>
      <c r="AA39" s="6">
        <f t="shared" si="5"/>
        <v>2.2998399272705731E-5</v>
      </c>
    </row>
    <row r="40" spans="1:27" x14ac:dyDescent="0.2">
      <c r="A40" s="1">
        <v>44804</v>
      </c>
      <c r="B40" s="15">
        <v>-3.8884395459999999E-2</v>
      </c>
      <c r="C40" s="15">
        <f t="shared" si="3"/>
        <v>-3.9509395459999999E-2</v>
      </c>
      <c r="D40">
        <v>-4.36E-2</v>
      </c>
      <c r="E40">
        <v>-3.04E-2</v>
      </c>
      <c r="F40">
        <v>-4.0800000000000003E-2</v>
      </c>
      <c r="G40">
        <v>-3.6999999999999998E-2</v>
      </c>
      <c r="H40">
        <v>-3.8399999999999997E-2</v>
      </c>
      <c r="I40">
        <v>-3.9699999999999999E-2</v>
      </c>
      <c r="J40" s="3">
        <v>0.16905505751096001</v>
      </c>
      <c r="K40" s="3">
        <v>2.1991586457070202E-2</v>
      </c>
      <c r="L40" s="3">
        <v>0.35449332246091098</v>
      </c>
      <c r="M40" s="3">
        <v>6.5634503298250005E-2</v>
      </c>
      <c r="N40" s="3">
        <v>0.122491360815284</v>
      </c>
      <c r="O40" s="3">
        <v>9.4346356524203603E-2</v>
      </c>
      <c r="P40" s="3">
        <v>0.171987812933319</v>
      </c>
      <c r="Q40" s="3">
        <v>2.109423746787797E-15</v>
      </c>
      <c r="R40" s="5">
        <v>-3.474637828659977E-3</v>
      </c>
      <c r="S40" s="5">
        <v>-6.5499651430001027E-4</v>
      </c>
      <c r="T40" s="5">
        <v>-9.7234657502710542E-3</v>
      </c>
      <c r="U40" s="5">
        <v>-4.1214526808419638E-3</v>
      </c>
      <c r="V40" s="5">
        <v>-4.8506654315599862E-3</v>
      </c>
      <c r="W40" s="5">
        <v>-5.3138826830969599E-3</v>
      </c>
      <c r="X40" s="5">
        <v>-9.9156036179970375E-3</v>
      </c>
      <c r="Y40" s="5">
        <v>0</v>
      </c>
      <c r="Z40" s="5">
        <f t="shared" si="4"/>
        <v>-3.8054704506726988E-2</v>
      </c>
      <c r="AA40" s="6">
        <f t="shared" si="5"/>
        <v>8.2969095327301012E-4</v>
      </c>
    </row>
    <row r="41" spans="1:27" x14ac:dyDescent="0.2">
      <c r="A41" s="1">
        <v>44834</v>
      </c>
      <c r="B41" s="15">
        <v>-7.468736108E-2</v>
      </c>
      <c r="C41" s="15">
        <f t="shared" si="3"/>
        <v>-7.5312361080000001E-2</v>
      </c>
      <c r="D41">
        <v>-9.3899999999999997E-2</v>
      </c>
      <c r="E41">
        <v>-4.1399999999999999E-2</v>
      </c>
      <c r="F41">
        <v>-9.2399999999999996E-2</v>
      </c>
      <c r="G41">
        <v>-6.7699999999999996E-2</v>
      </c>
      <c r="H41">
        <v>-7.2900000000000006E-2</v>
      </c>
      <c r="I41">
        <v>-7.8200000000000006E-2</v>
      </c>
      <c r="J41" s="3">
        <v>0.16250649564696501</v>
      </c>
      <c r="K41" s="3">
        <v>0.101326531920105</v>
      </c>
      <c r="L41" s="3">
        <v>0.31400440459057899</v>
      </c>
      <c r="M41" s="3">
        <v>4.65715067130286E-2</v>
      </c>
      <c r="N41" s="3">
        <v>0.16218036680468001</v>
      </c>
      <c r="O41" s="3">
        <v>8.3500104080009505E-2</v>
      </c>
      <c r="P41" s="3">
        <v>0.129910590244631</v>
      </c>
      <c r="Q41" s="3">
        <v>1.9984014443252822E-15</v>
      </c>
      <c r="R41" s="5">
        <v>-1.214077786961798E-2</v>
      </c>
      <c r="S41" s="5">
        <v>-1.1374881347189E-2</v>
      </c>
      <c r="T41" s="5">
        <v>-9.2750544087309983E-3</v>
      </c>
      <c r="U41" s="5">
        <v>-4.6664042617590162E-3</v>
      </c>
      <c r="V41" s="5">
        <v>-1.528849698293E-2</v>
      </c>
      <c r="W41" s="5">
        <v>-7.26303651126603E-3</v>
      </c>
      <c r="X41" s="5">
        <v>-1.670093729003197E-2</v>
      </c>
      <c r="Y41" s="5">
        <v>0</v>
      </c>
      <c r="Z41" s="5">
        <f t="shared" si="4"/>
        <v>-7.6709588671524997E-2</v>
      </c>
      <c r="AA41" s="6">
        <f t="shared" si="5"/>
        <v>-2.0222275915249971E-3</v>
      </c>
    </row>
    <row r="42" spans="1:27" x14ac:dyDescent="0.2">
      <c r="A42" s="1">
        <v>44865</v>
      </c>
      <c r="B42" s="15">
        <v>1.5963697289999999E-2</v>
      </c>
      <c r="C42" s="15">
        <f t="shared" si="3"/>
        <v>1.5338697289999998E-2</v>
      </c>
      <c r="D42">
        <v>6.3500000000000001E-2</v>
      </c>
      <c r="E42">
        <v>-1.2800000000000001E-2</v>
      </c>
      <c r="F42">
        <v>8.1299999999999997E-2</v>
      </c>
      <c r="G42">
        <v>2.53E-2</v>
      </c>
      <c r="H42">
        <v>3.3000000000000002E-2</v>
      </c>
      <c r="I42">
        <v>4.0599999999999997E-2</v>
      </c>
      <c r="J42" s="3">
        <v>0.173769312988131</v>
      </c>
      <c r="K42" s="3">
        <v>3.20295878243076E-2</v>
      </c>
      <c r="L42" s="3">
        <v>0.39158349601861703</v>
      </c>
      <c r="M42" s="3">
        <v>3.90349644855831E-2</v>
      </c>
      <c r="N42" s="3">
        <v>0.177464671898831</v>
      </c>
      <c r="O42" s="3">
        <v>0.101336851511952</v>
      </c>
      <c r="P42" s="3">
        <v>8.4781115272575799E-2</v>
      </c>
      <c r="Q42" s="3">
        <v>2.442490654175344E-15</v>
      </c>
      <c r="R42" s="5">
        <v>8.3668652924899778E-3</v>
      </c>
      <c r="S42" s="5">
        <v>4.6226847166996882E-4</v>
      </c>
      <c r="T42" s="5">
        <v>-8.0156947566060177E-3</v>
      </c>
      <c r="U42" s="5">
        <v>2.4935538682000491E-3</v>
      </c>
      <c r="V42" s="5">
        <v>1.4045788778719979E-2</v>
      </c>
      <c r="W42" s="5">
        <v>-6.2508779015499893E-3</v>
      </c>
      <c r="X42" s="5">
        <v>3.5451327871800502E-3</v>
      </c>
      <c r="Y42" s="5">
        <v>0</v>
      </c>
      <c r="Z42" s="5">
        <f t="shared" si="4"/>
        <v>1.4647036540104019E-2</v>
      </c>
      <c r="AA42" s="6">
        <f t="shared" si="5"/>
        <v>-1.3166607498959794E-3</v>
      </c>
    </row>
    <row r="43" spans="1:27" x14ac:dyDescent="0.2">
      <c r="A43" s="1">
        <v>44895</v>
      </c>
      <c r="B43" s="15">
        <v>5.554186287E-2</v>
      </c>
      <c r="C43" s="15">
        <f t="shared" si="3"/>
        <v>5.4916862869999999E-2</v>
      </c>
      <c r="D43">
        <v>8.3400000000000002E-2</v>
      </c>
      <c r="E43">
        <v>3.8100000000000002E-2</v>
      </c>
      <c r="F43">
        <v>5.5599999999999997E-2</v>
      </c>
      <c r="G43">
        <v>6.0699999999999997E-2</v>
      </c>
      <c r="H43">
        <v>6.5299999999999997E-2</v>
      </c>
      <c r="I43">
        <v>6.9800000000000001E-2</v>
      </c>
      <c r="J43" s="3">
        <v>0.30682831785515402</v>
      </c>
      <c r="K43" s="3">
        <v>3.1981541452156599E-2</v>
      </c>
      <c r="L43" s="3">
        <v>0.29664184044880998</v>
      </c>
      <c r="M43" s="3">
        <v>8.8234976657203701E-2</v>
      </c>
      <c r="N43" s="3">
        <v>0.180206411185203</v>
      </c>
      <c r="O43" s="3">
        <v>8.0495873195830497E-3</v>
      </c>
      <c r="P43" s="3">
        <v>8.8057325081888793E-2</v>
      </c>
      <c r="Q43" s="3">
        <v>0</v>
      </c>
      <c r="R43" s="5">
        <v>3.0303050042999051E-3</v>
      </c>
      <c r="S43" s="5">
        <v>4.8554809063099391E-3</v>
      </c>
      <c r="T43" s="5">
        <v>2.5934217950849939E-2</v>
      </c>
      <c r="U43" s="5">
        <v>1.1078874543269951E-2</v>
      </c>
      <c r="V43" s="5">
        <v>9.8296414552700995E-3</v>
      </c>
      <c r="W43" s="5">
        <v>1.3602420794400769E-3</v>
      </c>
      <c r="X43" s="5">
        <v>5.4541766676299286E-3</v>
      </c>
      <c r="Y43" s="5">
        <v>0</v>
      </c>
      <c r="Z43" s="5">
        <f t="shared" si="4"/>
        <v>6.1542938607069837E-2</v>
      </c>
      <c r="AA43" s="6">
        <f t="shared" si="5"/>
        <v>6.0010757370698373E-3</v>
      </c>
    </row>
    <row r="44" spans="1:27" x14ac:dyDescent="0.2">
      <c r="A44" s="1">
        <v>44926</v>
      </c>
      <c r="B44" s="15">
        <v>-1.7512347880000001E-2</v>
      </c>
      <c r="C44" s="15">
        <f t="shared" si="3"/>
        <v>-1.8137347880000002E-2</v>
      </c>
      <c r="D44">
        <v>-4.6199999999999998E-2</v>
      </c>
      <c r="E44">
        <v>-8.6999999999999994E-3</v>
      </c>
      <c r="F44">
        <v>-5.7599999999999998E-2</v>
      </c>
      <c r="G44">
        <v>-2.7400000000000001E-2</v>
      </c>
      <c r="H44">
        <v>-3.1199999999999999E-2</v>
      </c>
      <c r="I44">
        <v>-3.49E-2</v>
      </c>
      <c r="J44" s="3">
        <v>0.199171759442583</v>
      </c>
      <c r="K44" s="3">
        <v>0.109511686143464</v>
      </c>
      <c r="L44" s="3">
        <v>0.30432474285474398</v>
      </c>
      <c r="M44" s="3">
        <v>0.17118243125197199</v>
      </c>
      <c r="N44" s="3">
        <v>0.159166707956167</v>
      </c>
      <c r="O44" s="3">
        <v>4.4275807891985099E-3</v>
      </c>
      <c r="P44" s="3">
        <v>5.2215091561868501E-2</v>
      </c>
      <c r="Q44" s="3">
        <v>2.9976021664879231E-15</v>
      </c>
      <c r="R44" s="5">
        <v>-5.8280332429030413E-3</v>
      </c>
      <c r="S44" s="5">
        <v>-2.6284256013680012E-3</v>
      </c>
      <c r="T44" s="5">
        <v>9.1522505885599514E-3</v>
      </c>
      <c r="U44" s="5">
        <v>-3.7694083368340352E-3</v>
      </c>
      <c r="V44" s="5">
        <v>-9.2184735875120438E-3</v>
      </c>
      <c r="W44" s="5">
        <v>1.5698766799854269E-6</v>
      </c>
      <c r="X44" s="5">
        <v>-2.5286776421590269E-3</v>
      </c>
      <c r="Y44" s="5">
        <v>0</v>
      </c>
      <c r="Z44" s="5">
        <f t="shared" si="4"/>
        <v>-1.4819197945536211E-2</v>
      </c>
      <c r="AA44" s="6">
        <f t="shared" si="5"/>
        <v>2.6931499344637899E-3</v>
      </c>
    </row>
    <row r="45" spans="1:27" x14ac:dyDescent="0.2">
      <c r="A45" s="1">
        <v>44957</v>
      </c>
      <c r="B45" s="15">
        <v>5.7058377610000002E-2</v>
      </c>
      <c r="C45" s="15">
        <f t="shared" si="3"/>
        <v>5.6433377610000002E-2</v>
      </c>
      <c r="D45">
        <v>7.4999999999999997E-2</v>
      </c>
      <c r="E45">
        <v>3.3300000000000003E-2</v>
      </c>
      <c r="F45">
        <v>6.2899999999999998E-2</v>
      </c>
      <c r="G45">
        <v>5.4199999999999998E-2</v>
      </c>
      <c r="H45">
        <v>5.8299999999999998E-2</v>
      </c>
      <c r="I45">
        <v>6.25E-2</v>
      </c>
      <c r="J45" s="3">
        <v>0.178676602818793</v>
      </c>
      <c r="K45" s="3">
        <v>0.10428196363274</v>
      </c>
      <c r="L45" s="3">
        <v>0.391012773210132</v>
      </c>
      <c r="M45" s="3">
        <v>0.17076758253148699</v>
      </c>
      <c r="N45" s="3">
        <v>9.0595689057445694E-2</v>
      </c>
      <c r="O45" s="3">
        <v>2.27518178617684E-2</v>
      </c>
      <c r="P45" s="3">
        <v>4.1913570887631799E-2</v>
      </c>
      <c r="Q45" s="3">
        <v>1.9984014443252822E-15</v>
      </c>
      <c r="R45" s="5">
        <v>1.022798308810025E-3</v>
      </c>
      <c r="S45" s="5">
        <v>9.4436422303199041E-3</v>
      </c>
      <c r="T45" s="5">
        <v>2.1508392299359969E-2</v>
      </c>
      <c r="U45" s="5">
        <v>1.5052848702669991E-2</v>
      </c>
      <c r="V45" s="5">
        <v>5.3034773393900716E-3</v>
      </c>
      <c r="W45" s="5">
        <v>1.349114456669964E-3</v>
      </c>
      <c r="X45" s="5">
        <v>4.0904952127900351E-3</v>
      </c>
      <c r="Y45" s="5">
        <v>0</v>
      </c>
      <c r="Z45" s="5">
        <f t="shared" si="4"/>
        <v>5.7770768550009961E-2</v>
      </c>
      <c r="AA45" s="6">
        <f t="shared" si="5"/>
        <v>7.1239094000995901E-4</v>
      </c>
    </row>
    <row r="46" spans="1:27" x14ac:dyDescent="0.2">
      <c r="A46" s="1">
        <v>44985</v>
      </c>
      <c r="B46" s="15">
        <v>-4.8253263409999997E-2</v>
      </c>
      <c r="C46" s="15">
        <f t="shared" si="3"/>
        <v>-4.8878263409999997E-2</v>
      </c>
      <c r="D46">
        <v>-3.32E-2</v>
      </c>
      <c r="E46">
        <v>-2.6700000000000002E-2</v>
      </c>
      <c r="F46">
        <v>-2.5100000000000001E-2</v>
      </c>
      <c r="G46">
        <v>-2.9899999999999999E-2</v>
      </c>
      <c r="H46">
        <v>-3.0599999999999999E-2</v>
      </c>
      <c r="I46">
        <v>-3.1199999999999999E-2</v>
      </c>
      <c r="J46" s="3">
        <v>7.7889249749614295E-2</v>
      </c>
      <c r="K46" s="3">
        <v>0.12366221129982399</v>
      </c>
      <c r="L46" s="3">
        <v>0.39647896523528398</v>
      </c>
      <c r="M46" s="3">
        <v>0.21549940033736001</v>
      </c>
      <c r="N46" s="3">
        <v>7.8419734699101795E-2</v>
      </c>
      <c r="O46" s="3">
        <v>3.6937535582784398E-2</v>
      </c>
      <c r="P46" s="3">
        <v>2.5191485426462198E-2</v>
      </c>
      <c r="Q46" s="3">
        <v>4.5921417669569357E-2</v>
      </c>
      <c r="R46" s="5">
        <v>-4.2813914058850164E-3</v>
      </c>
      <c r="S46" s="5">
        <v>-1.007535423768402E-2</v>
      </c>
      <c r="T46" s="5">
        <v>-2.158118159043498E-2</v>
      </c>
      <c r="U46" s="5">
        <v>-7.4087624556360421E-3</v>
      </c>
      <c r="V46" s="5">
        <v>-2.2369711526980529E-3</v>
      </c>
      <c r="W46" s="5">
        <v>-2.038371311409048E-3</v>
      </c>
      <c r="X46" s="5">
        <v>-1.541261548207995E-3</v>
      </c>
      <c r="Y46" s="5">
        <v>0</v>
      </c>
      <c r="Z46" s="5">
        <f t="shared" si="4"/>
        <v>-4.9163293701955157E-2</v>
      </c>
      <c r="AA46" s="6">
        <f t="shared" si="5"/>
        <v>-9.1003029195516061E-4</v>
      </c>
    </row>
    <row r="47" spans="1:27" x14ac:dyDescent="0.2">
      <c r="A47" s="1">
        <v>45016</v>
      </c>
      <c r="B47" s="15">
        <v>3.9044464920000001E-2</v>
      </c>
      <c r="C47" s="15">
        <f t="shared" si="3"/>
        <v>3.841946492E-2</v>
      </c>
      <c r="D47">
        <v>3.3300000000000003E-2</v>
      </c>
      <c r="E47">
        <v>2.64E-2</v>
      </c>
      <c r="F47">
        <v>3.7100000000000001E-2</v>
      </c>
      <c r="G47">
        <v>2.9899999999999999E-2</v>
      </c>
      <c r="H47">
        <v>3.0599999999999999E-2</v>
      </c>
      <c r="I47">
        <v>3.1300000000000001E-2</v>
      </c>
      <c r="J47" s="3">
        <v>4.6456885628683997E-2</v>
      </c>
      <c r="K47" s="3">
        <v>6.8611400961298599E-2</v>
      </c>
      <c r="L47" s="3">
        <v>0.27251450764359803</v>
      </c>
      <c r="M47" s="3">
        <v>0.28649390668110303</v>
      </c>
      <c r="N47" s="3">
        <v>0.120741584395252</v>
      </c>
      <c r="O47" s="3">
        <v>3.8854967166452203E-2</v>
      </c>
      <c r="P47" s="3">
        <v>4.7946665820049E-2</v>
      </c>
      <c r="Q47" s="3">
        <v>0.11838008170356321</v>
      </c>
      <c r="R47" s="5">
        <v>5.4190246179008916E-4</v>
      </c>
      <c r="S47" s="5">
        <v>3.255454240310041E-3</v>
      </c>
      <c r="T47" s="5">
        <v>2.2401625694939978E-2</v>
      </c>
      <c r="U47" s="5">
        <v>8.3049268434101098E-3</v>
      </c>
      <c r="V47" s="5">
        <v>4.5489205550799383E-3</v>
      </c>
      <c r="W47" s="5">
        <v>1.9258233735899299E-3</v>
      </c>
      <c r="X47" s="5">
        <v>-6.6964099465405269E-4</v>
      </c>
      <c r="Y47" s="5">
        <v>0</v>
      </c>
      <c r="Z47" s="5">
        <f t="shared" si="4"/>
        <v>4.030901217446603E-2</v>
      </c>
      <c r="AA47" s="6">
        <f t="shared" si="5"/>
        <v>1.2645472544660294E-3</v>
      </c>
    </row>
    <row r="48" spans="1:27" x14ac:dyDescent="0.2">
      <c r="A48" s="1">
        <v>45046</v>
      </c>
      <c r="B48" s="15">
        <v>1.173070897E-2</v>
      </c>
      <c r="C48" s="15">
        <f t="shared" si="3"/>
        <v>1.1105708969999999E-2</v>
      </c>
      <c r="D48">
        <v>1.5699999999999999E-2</v>
      </c>
      <c r="E48">
        <v>5.7000000000000002E-3</v>
      </c>
      <c r="F48">
        <v>1.6E-2</v>
      </c>
      <c r="G48">
        <v>1.0699999999999999E-2</v>
      </c>
      <c r="H48">
        <v>1.17E-2</v>
      </c>
      <c r="I48">
        <v>1.2699999999999999E-2</v>
      </c>
      <c r="J48" s="3">
        <v>2.1518213336528199E-2</v>
      </c>
      <c r="K48" s="3">
        <v>0.120819100890492</v>
      </c>
      <c r="L48" s="3">
        <v>0.31114606410533202</v>
      </c>
      <c r="M48" s="3">
        <v>0.26302559121491598</v>
      </c>
      <c r="N48" s="3">
        <v>0.16193058839104399</v>
      </c>
      <c r="O48" s="3">
        <v>6.1426572075670802E-2</v>
      </c>
      <c r="P48" s="3">
        <v>1.63008455004276E-2</v>
      </c>
      <c r="Q48" s="3">
        <v>4.3833024485589338E-2</v>
      </c>
      <c r="R48" s="5">
        <v>2.1912331224993589E-4</v>
      </c>
      <c r="S48" s="5">
        <v>-1.082699644500029E-3</v>
      </c>
      <c r="T48" s="5">
        <v>2.5058426862301091E-3</v>
      </c>
      <c r="U48" s="5">
        <v>7.8780170563799157E-3</v>
      </c>
      <c r="V48" s="5">
        <v>2.433572504259907E-3</v>
      </c>
      <c r="W48" s="5">
        <v>1.051445090500813E-4</v>
      </c>
      <c r="X48" s="5">
        <v>-7.9161781035952394E-5</v>
      </c>
      <c r="Y48" s="5">
        <v>0</v>
      </c>
      <c r="Z48" s="5">
        <f t="shared" si="4"/>
        <v>1.1979838642633966E-2</v>
      </c>
      <c r="AA48" s="6">
        <f t="shared" si="5"/>
        <v>2.491296726339666E-4</v>
      </c>
    </row>
    <row r="49" spans="1:27" x14ac:dyDescent="0.2">
      <c r="A49" s="1">
        <v>45077</v>
      </c>
      <c r="B49" s="15">
        <v>-1.9981424229999999E-2</v>
      </c>
      <c r="C49" s="15">
        <f t="shared" si="3"/>
        <v>-2.060642423E-2</v>
      </c>
      <c r="D49">
        <v>-1.0500000000000001E-2</v>
      </c>
      <c r="E49">
        <v>-1.14E-2</v>
      </c>
      <c r="F49">
        <v>4.5999999999999999E-3</v>
      </c>
      <c r="G49">
        <v>-1.09E-2</v>
      </c>
      <c r="H49">
        <v>-1.09E-2</v>
      </c>
      <c r="I49">
        <v>-1.0800000000000001E-2</v>
      </c>
      <c r="J49" s="3">
        <v>8.7833758672423295E-3</v>
      </c>
      <c r="K49" s="3">
        <v>0.111714951243678</v>
      </c>
      <c r="L49" s="3">
        <v>0.280106365270261</v>
      </c>
      <c r="M49" s="3">
        <v>0.276592519805543</v>
      </c>
      <c r="N49" s="3">
        <v>0.182510725071238</v>
      </c>
      <c r="O49" s="3">
        <v>8.8898670489892695E-2</v>
      </c>
      <c r="P49" s="3">
        <v>2.6873621495586801E-2</v>
      </c>
      <c r="Q49" s="3">
        <v>2.4519770756558201E-2</v>
      </c>
      <c r="R49" s="5">
        <v>-6.7163978986695128E-4</v>
      </c>
      <c r="S49" s="5">
        <v>-2.7122977245299662E-3</v>
      </c>
      <c r="T49" s="5">
        <v>-3.9459375714619993E-3</v>
      </c>
      <c r="U49" s="5">
        <v>-1.109963863252705E-2</v>
      </c>
      <c r="V49" s="5">
        <v>9.0535637200006569E-4</v>
      </c>
      <c r="W49" s="5">
        <v>-1.8564190123360189E-3</v>
      </c>
      <c r="X49" s="5">
        <v>-9.8864545843702079E-4</v>
      </c>
      <c r="Y49" s="5">
        <v>0</v>
      </c>
      <c r="Z49" s="5">
        <f t="shared" si="4"/>
        <v>-2.0369221817158941E-2</v>
      </c>
      <c r="AA49" s="6">
        <f t="shared" si="5"/>
        <v>-3.8779758715894175E-4</v>
      </c>
    </row>
    <row r="50" spans="1:27" x14ac:dyDescent="0.2">
      <c r="A50" s="1">
        <v>45107</v>
      </c>
      <c r="B50" s="15">
        <v>2.5565834990000001E-2</v>
      </c>
      <c r="C50" s="15">
        <f t="shared" si="3"/>
        <v>2.4940834990000001E-2</v>
      </c>
      <c r="D50">
        <v>5.79E-2</v>
      </c>
      <c r="E50">
        <v>-3.7000000000000002E-3</v>
      </c>
      <c r="F50">
        <v>6.4799999999999996E-2</v>
      </c>
      <c r="G50">
        <v>2.7099999999999999E-2</v>
      </c>
      <c r="H50">
        <v>3.3300000000000003E-2</v>
      </c>
      <c r="I50">
        <v>3.9399999999999998E-2</v>
      </c>
      <c r="J50" s="3">
        <v>1.2956789374987999E-3</v>
      </c>
      <c r="K50" s="3">
        <v>6.7632774674809604E-2</v>
      </c>
      <c r="L50" s="3">
        <v>0.27764494494898201</v>
      </c>
      <c r="M50" s="3">
        <v>0.226844627566191</v>
      </c>
      <c r="N50" s="3">
        <v>0.26124451258207498</v>
      </c>
      <c r="O50" s="3">
        <v>6.7698764861708699E-2</v>
      </c>
      <c r="P50" s="3">
        <v>1.1070556072099801E-2</v>
      </c>
      <c r="Q50" s="3">
        <v>8.6568140356634959E-2</v>
      </c>
      <c r="R50" s="5">
        <v>1.538662472799768E-4</v>
      </c>
      <c r="S50" s="5">
        <v>3.745138638080014E-3</v>
      </c>
      <c r="T50" s="5">
        <v>-5.9669466086019751E-3</v>
      </c>
      <c r="U50" s="5">
        <v>1.073626135640993E-2</v>
      </c>
      <c r="V50" s="5">
        <v>1.612983600470996E-2</v>
      </c>
      <c r="W50" s="5">
        <v>2.289465526998935E-4</v>
      </c>
      <c r="X50" s="5">
        <v>6.452105629599636E-4</v>
      </c>
      <c r="Y50" s="5">
        <v>0</v>
      </c>
      <c r="Z50" s="5">
        <f t="shared" si="4"/>
        <v>2.5672312753537763E-2</v>
      </c>
      <c r="AA50" s="6">
        <f t="shared" si="5"/>
        <v>1.0647776353776145E-4</v>
      </c>
    </row>
    <row r="51" spans="1:27" x14ac:dyDescent="0.2">
      <c r="A51" s="1">
        <v>45138</v>
      </c>
      <c r="B51" s="15">
        <v>2.7088778439999999E-2</v>
      </c>
      <c r="C51" s="15">
        <f t="shared" si="3"/>
        <v>2.6463778439999999E-2</v>
      </c>
      <c r="D51">
        <v>3.5999999999999997E-2</v>
      </c>
      <c r="E51">
        <v>-2.0000000000000001E-4</v>
      </c>
      <c r="F51">
        <v>3.27E-2</v>
      </c>
      <c r="G51">
        <v>1.7899999999999999E-2</v>
      </c>
      <c r="H51">
        <v>2.1499999999999998E-2</v>
      </c>
      <c r="I51">
        <v>2.5100000000000001E-2</v>
      </c>
      <c r="J51" s="3">
        <v>3.2064613542309999E-3</v>
      </c>
      <c r="K51" s="3">
        <v>0.102105808210278</v>
      </c>
      <c r="L51" s="3">
        <v>0.19183770791385801</v>
      </c>
      <c r="M51" s="3">
        <v>0.26480501273286999</v>
      </c>
      <c r="N51" s="3">
        <v>0.280059430374764</v>
      </c>
      <c r="O51" s="3">
        <v>4.1784569684039097E-2</v>
      </c>
      <c r="P51" s="3">
        <v>7.2686273777006899E-2</v>
      </c>
      <c r="Q51" s="3">
        <v>4.3514735952952972E-2</v>
      </c>
      <c r="R51" s="5">
        <v>2.7802001902998969E-4</v>
      </c>
      <c r="S51" s="5">
        <v>5.7373995993299509E-3</v>
      </c>
      <c r="T51" s="5">
        <v>4.515546124749914E-3</v>
      </c>
      <c r="U51" s="5">
        <v>7.2015690632600826E-3</v>
      </c>
      <c r="V51" s="5">
        <v>9.0937115605100871E-3</v>
      </c>
      <c r="W51" s="5">
        <v>-1.196347611277959E-3</v>
      </c>
      <c r="X51" s="5">
        <v>7.6223552480003676E-4</v>
      </c>
      <c r="Y51" s="5">
        <v>0</v>
      </c>
      <c r="Z51" s="5">
        <f t="shared" si="4"/>
        <v>2.6392134280402102E-2</v>
      </c>
      <c r="AA51" s="6">
        <f t="shared" si="5"/>
        <v>-6.9664415959789713E-4</v>
      </c>
    </row>
    <row r="52" spans="1:27" x14ac:dyDescent="0.2">
      <c r="A52" s="1">
        <v>45169</v>
      </c>
      <c r="B52" s="15">
        <v>-2.4517155419999999E-2</v>
      </c>
      <c r="C52" s="15">
        <f t="shared" si="3"/>
        <v>-2.5142155419999999E-2</v>
      </c>
      <c r="D52">
        <v>-2.9100000000000001E-2</v>
      </c>
      <c r="E52">
        <v>-6.3E-3</v>
      </c>
      <c r="F52">
        <v>-1.6299999999999999E-2</v>
      </c>
      <c r="G52">
        <v>-1.77E-2</v>
      </c>
      <c r="H52">
        <v>-0.02</v>
      </c>
      <c r="I52">
        <v>-2.2200000000000001E-2</v>
      </c>
      <c r="J52" s="3">
        <v>7.3214409333078698E-2</v>
      </c>
      <c r="K52" s="3">
        <v>0.111138618800289</v>
      </c>
      <c r="L52" s="3">
        <v>0.213600921083757</v>
      </c>
      <c r="M52" s="3">
        <v>0.16278808265958999</v>
      </c>
      <c r="N52" s="3">
        <v>0.35908642901818899</v>
      </c>
      <c r="O52" s="3">
        <v>6.4121941148870603E-3</v>
      </c>
      <c r="P52" s="3">
        <v>6.9299482905989404E-2</v>
      </c>
      <c r="Q52" s="3">
        <v>4.4598620842198899E-3</v>
      </c>
      <c r="R52" s="5">
        <v>1.4035379013011001E-4</v>
      </c>
      <c r="S52" s="5">
        <v>-7.3575996559810397E-3</v>
      </c>
      <c r="T52" s="5">
        <v>-2.417749756078003E-3</v>
      </c>
      <c r="U52" s="5">
        <v>-7.7221410788319567E-3</v>
      </c>
      <c r="V52" s="5">
        <v>-5.571084410953997E-3</v>
      </c>
      <c r="W52" s="5">
        <v>-7.507465214090514E-4</v>
      </c>
      <c r="X52" s="5">
        <v>-2.1548059331979448E-3</v>
      </c>
      <c r="Y52" s="5">
        <v>0</v>
      </c>
      <c r="Z52" s="5">
        <f t="shared" si="4"/>
        <v>-2.5833773566321883E-2</v>
      </c>
      <c r="AA52" s="6">
        <f t="shared" si="5"/>
        <v>-1.3166181463218837E-3</v>
      </c>
    </row>
    <row r="53" spans="1:27" x14ac:dyDescent="0.2">
      <c r="A53" s="1">
        <v>45199</v>
      </c>
      <c r="B53" s="15">
        <v>-3.3670742470000001E-2</v>
      </c>
      <c r="C53" s="15">
        <f t="shared" si="3"/>
        <v>-3.4295742470000001E-2</v>
      </c>
      <c r="D53">
        <v>-4.2799999999999998E-2</v>
      </c>
      <c r="E53">
        <v>-2.5899999999999999E-2</v>
      </c>
      <c r="F53">
        <v>-4.7399999999999998E-2</v>
      </c>
      <c r="G53">
        <v>-3.4299999999999997E-2</v>
      </c>
      <c r="H53">
        <v>-3.5999999999999997E-2</v>
      </c>
      <c r="I53">
        <v>-3.7699999999999997E-2</v>
      </c>
      <c r="J53" s="3">
        <v>0.15518666713045601</v>
      </c>
      <c r="K53" s="3">
        <v>3.9228688407481102E-2</v>
      </c>
      <c r="L53" s="3">
        <v>0.216992796640706</v>
      </c>
      <c r="M53" s="3">
        <v>0.10917602566679099</v>
      </c>
      <c r="N53" s="3">
        <v>0.30225789019843002</v>
      </c>
      <c r="O53" s="3">
        <v>1.4006242176569301E-3</v>
      </c>
      <c r="P53" s="3">
        <v>7.4091901506140298E-2</v>
      </c>
      <c r="Q53" s="3">
        <v>0.10166540623233861</v>
      </c>
      <c r="R53" s="5">
        <v>1.339599281179993E-3</v>
      </c>
      <c r="S53" s="5">
        <v>-4.1372527752303601E-4</v>
      </c>
      <c r="T53" s="5">
        <v>-1.0535321106100001E-2</v>
      </c>
      <c r="U53" s="5">
        <v>-4.0448673057550399E-3</v>
      </c>
      <c r="V53" s="5">
        <v>-1.422692227758404E-2</v>
      </c>
      <c r="W53" s="5">
        <v>-1.9210270010594499E-4</v>
      </c>
      <c r="X53" s="5">
        <v>-5.5171332347859758E-3</v>
      </c>
      <c r="Y53" s="5">
        <v>0</v>
      </c>
      <c r="Z53" s="5">
        <f t="shared" si="4"/>
        <v>-3.3590472620674043E-2</v>
      </c>
      <c r="AA53" s="6">
        <f t="shared" si="5"/>
        <v>8.0269849325957654E-5</v>
      </c>
    </row>
    <row r="54" spans="1:27" x14ac:dyDescent="0.2">
      <c r="A54" s="1">
        <v>45230</v>
      </c>
      <c r="B54" s="15">
        <v>-6.9894631799999997E-3</v>
      </c>
      <c r="C54" s="15">
        <f t="shared" si="3"/>
        <v>-7.6144631799999994E-3</v>
      </c>
      <c r="D54">
        <v>-2.5399999999999999E-2</v>
      </c>
      <c r="E54">
        <v>-1.5699999999999999E-2</v>
      </c>
      <c r="F54">
        <v>-2.1700000000000001E-2</v>
      </c>
      <c r="G54">
        <v>-2.06E-2</v>
      </c>
      <c r="H54">
        <v>-2.1499999999999998E-2</v>
      </c>
      <c r="I54">
        <v>-2.2499999999999999E-2</v>
      </c>
      <c r="J54" s="3">
        <v>0.294024796093663</v>
      </c>
      <c r="K54" s="3">
        <v>6.1394012541593102E-2</v>
      </c>
      <c r="L54" s="3">
        <v>0.12953045621003401</v>
      </c>
      <c r="M54" s="3">
        <v>0.103933202699394</v>
      </c>
      <c r="N54" s="3">
        <v>0.19342388781169501</v>
      </c>
      <c r="O54" s="3">
        <v>3.6834302489170299E-3</v>
      </c>
      <c r="P54" s="3">
        <v>2.1743224181917199E-2</v>
      </c>
      <c r="Q54" s="3">
        <v>0.19226699021278659</v>
      </c>
      <c r="R54" s="5">
        <v>-4.4535914439910451E-3</v>
      </c>
      <c r="S54" s="5">
        <v>-1.899493469642022E-3</v>
      </c>
      <c r="T54" s="5">
        <v>8.7681909596799557E-3</v>
      </c>
      <c r="U54" s="5">
        <v>-3.0504642934879871E-3</v>
      </c>
      <c r="V54" s="5">
        <v>-4.1183782739360186E-3</v>
      </c>
      <c r="W54" s="5">
        <v>-1.624647930440482E-4</v>
      </c>
      <c r="X54" s="5">
        <v>-1.679283845071988E-3</v>
      </c>
      <c r="Y54" s="5">
        <v>0</v>
      </c>
      <c r="Z54" s="5">
        <f t="shared" si="4"/>
        <v>-6.5954851594931529E-3</v>
      </c>
      <c r="AA54" s="6">
        <f t="shared" si="5"/>
        <v>3.9397802050684678E-4</v>
      </c>
    </row>
    <row r="55" spans="1:27" x14ac:dyDescent="0.2">
      <c r="A55" s="1">
        <v>45260</v>
      </c>
      <c r="B55" s="15">
        <v>3.620884077E-2</v>
      </c>
      <c r="C55" s="15">
        <f t="shared" si="3"/>
        <v>3.558384077E-2</v>
      </c>
      <c r="D55">
        <v>8.8900000000000007E-2</v>
      </c>
      <c r="E55">
        <v>4.5900000000000003E-2</v>
      </c>
      <c r="F55">
        <v>9.1300000000000006E-2</v>
      </c>
      <c r="G55">
        <v>6.7400000000000002E-2</v>
      </c>
      <c r="H55">
        <v>7.17E-2</v>
      </c>
      <c r="I55">
        <v>7.5999999999999998E-2</v>
      </c>
      <c r="J55" s="3">
        <v>0.18038336294885501</v>
      </c>
      <c r="K55" s="3">
        <v>5.4294472316092197E-2</v>
      </c>
      <c r="L55" s="3">
        <v>0.29740911417780103</v>
      </c>
      <c r="M55" s="3">
        <v>7.5363280112762901E-2</v>
      </c>
      <c r="N55" s="3">
        <v>0.205460302310294</v>
      </c>
      <c r="O55" s="3">
        <v>1.2838294987502299E-3</v>
      </c>
      <c r="P55" s="3">
        <v>2.1696418978545101E-2</v>
      </c>
      <c r="Q55" s="3">
        <v>0.1641092196568994</v>
      </c>
      <c r="R55" s="5">
        <v>-4.1061910760850076E-3</v>
      </c>
      <c r="S55" s="5">
        <v>4.232769156180094E-3</v>
      </c>
      <c r="T55" s="5">
        <v>7.836987537620077E-3</v>
      </c>
      <c r="U55" s="5">
        <v>6.3744673453500766E-3</v>
      </c>
      <c r="V55" s="5">
        <v>1.8406048464330031E-2</v>
      </c>
      <c r="W55" s="5">
        <v>1.7323605479990789E-4</v>
      </c>
      <c r="X55" s="5">
        <v>2.6212682014099542E-3</v>
      </c>
      <c r="Y55" s="5">
        <v>0</v>
      </c>
      <c r="Z55" s="5">
        <f t="shared" si="4"/>
        <v>3.5538585683605128E-2</v>
      </c>
      <c r="AA55" s="6">
        <f t="shared" si="5"/>
        <v>-6.7025508639487197E-4</v>
      </c>
    </row>
    <row r="56" spans="1:27" x14ac:dyDescent="0.2">
      <c r="A56" s="1">
        <v>45291</v>
      </c>
      <c r="B56" s="15">
        <v>2.6647154190000001E-2</v>
      </c>
      <c r="C56" s="15">
        <f t="shared" si="3"/>
        <v>2.6022154190000001E-2</v>
      </c>
      <c r="D56">
        <v>4.8300000000000003E-2</v>
      </c>
      <c r="E56">
        <v>3.6900000000000002E-2</v>
      </c>
      <c r="F56">
        <v>4.5699999999999998E-2</v>
      </c>
      <c r="G56">
        <v>4.2599999999999999E-2</v>
      </c>
      <c r="H56">
        <v>4.3700000000000003E-2</v>
      </c>
      <c r="I56">
        <v>4.4900000000000002E-2</v>
      </c>
      <c r="J56" s="3">
        <v>6.2624399702631395E-2</v>
      </c>
      <c r="K56" s="3">
        <v>9.8501293372130302E-2</v>
      </c>
      <c r="L56" s="3">
        <v>0.35055372280993002</v>
      </c>
      <c r="M56" s="3">
        <v>0.13406310866194901</v>
      </c>
      <c r="N56" s="3">
        <v>0.28128400320616997</v>
      </c>
      <c r="O56" s="3">
        <v>1.7256526582389001E-3</v>
      </c>
      <c r="P56" s="3">
        <v>5.2104750066527698E-2</v>
      </c>
      <c r="Q56" s="3">
        <v>1.9143069522422621E-2</v>
      </c>
      <c r="R56" s="5">
        <v>-2.5739071902870499E-3</v>
      </c>
      <c r="S56" s="5">
        <v>3.317834918070028E-3</v>
      </c>
      <c r="T56" s="5">
        <v>3.498921954820045E-3</v>
      </c>
      <c r="U56" s="5">
        <v>6.5925042293100136E-3</v>
      </c>
      <c r="V56" s="5">
        <v>1.258177581787989E-2</v>
      </c>
      <c r="W56" s="5">
        <v>1.414526257599302E-4</v>
      </c>
      <c r="X56" s="5">
        <v>3.9628608344399741E-3</v>
      </c>
      <c r="Y56" s="5">
        <v>0</v>
      </c>
      <c r="Z56" s="5">
        <f t="shared" si="4"/>
        <v>2.7521443189992834E-2</v>
      </c>
      <c r="AA56" s="6">
        <f t="shared" si="5"/>
        <v>8.7428899999283244E-4</v>
      </c>
    </row>
    <row r="57" spans="1:27" x14ac:dyDescent="0.2">
      <c r="A57" s="1">
        <v>45322</v>
      </c>
      <c r="B57" s="15">
        <v>-8.0343830099999999E-3</v>
      </c>
      <c r="C57" s="15">
        <f t="shared" si="3"/>
        <v>-8.6593830100000005E-3</v>
      </c>
      <c r="D57">
        <v>2.8E-3</v>
      </c>
      <c r="E57">
        <v>-1.5E-3</v>
      </c>
      <c r="F57">
        <v>1.5900000000000001E-2</v>
      </c>
      <c r="G57">
        <v>5.9999999999999995E-4</v>
      </c>
      <c r="H57">
        <v>1E-3</v>
      </c>
      <c r="I57">
        <v>1.5E-3</v>
      </c>
      <c r="J57" s="3">
        <v>7.8229558631137605E-3</v>
      </c>
      <c r="K57" s="3">
        <v>5.1168481158752097E-2</v>
      </c>
      <c r="L57" s="3">
        <v>0.229297035809785</v>
      </c>
      <c r="M57" s="3">
        <v>0.20203905496067401</v>
      </c>
      <c r="N57" s="3">
        <v>0.34827014604760897</v>
      </c>
      <c r="O57" s="3">
        <v>3.5800553004332901E-2</v>
      </c>
      <c r="P57" s="3">
        <v>0.12024798947209001</v>
      </c>
      <c r="Q57" s="3">
        <v>5.3537836836431429E-3</v>
      </c>
      <c r="R57" s="5">
        <v>-3.1819350088002629E-4</v>
      </c>
      <c r="S57" s="5">
        <v>-2.88923542001096E-3</v>
      </c>
      <c r="T57" s="5">
        <v>-3.539258827307989E-3</v>
      </c>
      <c r="U57" s="5">
        <v>-1.188577772589516E-4</v>
      </c>
      <c r="V57" s="5">
        <v>6.104080761109909E-3</v>
      </c>
      <c r="W57" s="5">
        <v>-6.2774852455105279E-4</v>
      </c>
      <c r="X57" s="5">
        <v>-6.6398244443209853E-3</v>
      </c>
      <c r="Y57" s="5">
        <v>0</v>
      </c>
      <c r="Z57" s="5">
        <f t="shared" si="4"/>
        <v>-8.0290377332200569E-3</v>
      </c>
      <c r="AA57" s="6">
        <f t="shared" si="5"/>
        <v>5.3452767799430645E-6</v>
      </c>
    </row>
    <row r="58" spans="1:27" x14ac:dyDescent="0.2">
      <c r="A58" s="1">
        <v>45351</v>
      </c>
      <c r="B58" s="15">
        <v>2.7147861320000001E-2</v>
      </c>
      <c r="C58" s="15">
        <f t="shared" si="3"/>
        <v>2.652286132E-2</v>
      </c>
      <c r="D58">
        <v>4.5100000000000001E-2</v>
      </c>
      <c r="E58">
        <v>-1.4800000000000001E-2</v>
      </c>
      <c r="F58">
        <v>5.2200000000000003E-2</v>
      </c>
      <c r="G58">
        <v>1.52E-2</v>
      </c>
      <c r="H58">
        <v>2.1100000000000001E-2</v>
      </c>
      <c r="I58">
        <v>2.7099999999999999E-2</v>
      </c>
      <c r="J58" s="3">
        <v>2.65432417834085E-2</v>
      </c>
      <c r="K58" s="3">
        <v>2.57038196721193E-2</v>
      </c>
      <c r="L58" s="3">
        <v>0.21382409976125499</v>
      </c>
      <c r="M58" s="3">
        <v>0.22321588493399999</v>
      </c>
      <c r="N58" s="3">
        <v>0.34997350007512001</v>
      </c>
      <c r="O58" s="3">
        <v>5.7141535172948198E-2</v>
      </c>
      <c r="P58" s="3">
        <v>8.5133597510620496E-2</v>
      </c>
      <c r="Q58" s="3">
        <v>1.846432109052842E-2</v>
      </c>
      <c r="R58" s="5">
        <v>-1.820465352789791E-4</v>
      </c>
      <c r="S58" s="5">
        <v>1.310413322799908E-3</v>
      </c>
      <c r="T58" s="5">
        <v>1.115377689890007E-3</v>
      </c>
      <c r="U58" s="5">
        <v>6.4962813216100654E-3</v>
      </c>
      <c r="V58" s="5">
        <v>1.83514639014799E-2</v>
      </c>
      <c r="W58" s="5">
        <v>-1.670499072482956E-3</v>
      </c>
      <c r="X58" s="5">
        <v>2.339923211120087E-3</v>
      </c>
      <c r="Y58" s="5">
        <v>0</v>
      </c>
      <c r="Z58" s="5">
        <f t="shared" si="4"/>
        <v>2.7760913839138032E-2</v>
      </c>
      <c r="AA58" s="6">
        <f t="shared" si="5"/>
        <v>6.1305251913803052E-4</v>
      </c>
    </row>
    <row r="59" spans="1:27" ht="14.25" customHeight="1" x14ac:dyDescent="0.2">
      <c r="A59" s="1">
        <v>45382</v>
      </c>
      <c r="B59" s="15">
        <v>3.8165496459999997E-2</v>
      </c>
      <c r="C59" s="15">
        <f t="shared" si="3"/>
        <v>3.7540496459999996E-2</v>
      </c>
      <c r="D59">
        <v>3.2599999999999997E-2</v>
      </c>
      <c r="E59">
        <v>8.9999999999999993E-3</v>
      </c>
      <c r="F59">
        <v>3.27E-2</v>
      </c>
      <c r="G59">
        <v>2.0799999999999999E-2</v>
      </c>
      <c r="H59">
        <v>2.3199999999999998E-2</v>
      </c>
      <c r="I59">
        <v>2.5499999999999998E-2</v>
      </c>
      <c r="J59" s="3">
        <v>3.2669745987773002E-2</v>
      </c>
      <c r="K59" s="3">
        <v>7.7770463574899404E-2</v>
      </c>
      <c r="L59" s="3">
        <v>0.11764247675805301</v>
      </c>
      <c r="M59" s="3">
        <v>0.301860289959274</v>
      </c>
      <c r="N59" s="3">
        <v>0.34122939129042601</v>
      </c>
      <c r="O59" s="3">
        <v>2.6773686890738599E-2</v>
      </c>
      <c r="P59" s="3">
        <v>8.6735303055815199E-2</v>
      </c>
      <c r="Q59" s="3">
        <v>1.531864248302073E-2</v>
      </c>
      <c r="R59" s="5">
        <v>1.402779554710021E-3</v>
      </c>
      <c r="S59" s="5">
        <v>1.47273948658011E-3</v>
      </c>
      <c r="T59" s="5">
        <v>1.175468634832999E-2</v>
      </c>
      <c r="U59" s="5">
        <v>9.3970937956500133E-3</v>
      </c>
      <c r="V59" s="5">
        <v>1.1200959680089939E-2</v>
      </c>
      <c r="W59" s="5">
        <v>3.8046524310009211E-4</v>
      </c>
      <c r="X59" s="5">
        <v>1.5721877625201051E-3</v>
      </c>
      <c r="Y59" s="5">
        <v>0</v>
      </c>
      <c r="Z59" s="5">
        <f t="shared" si="4"/>
        <v>3.7180911870980271E-2</v>
      </c>
      <c r="AA59" s="6">
        <f t="shared" si="5"/>
        <v>-9.8458458901972551E-4</v>
      </c>
    </row>
    <row r="60" spans="1:27" x14ac:dyDescent="0.2">
      <c r="A60" s="1">
        <v>45412</v>
      </c>
      <c r="B60" s="15">
        <v>-1.9610556550000002E-2</v>
      </c>
      <c r="C60" s="15">
        <f t="shared" si="3"/>
        <v>-2.0235556550000002E-2</v>
      </c>
      <c r="D60">
        <v>-3.5499999999999997E-2</v>
      </c>
      <c r="E60">
        <v>-2.4799999999999999E-2</v>
      </c>
      <c r="F60">
        <v>-4.0300000000000002E-2</v>
      </c>
      <c r="G60">
        <v>-3.0099999999999998E-2</v>
      </c>
      <c r="H60">
        <v>-3.1199999999999999E-2</v>
      </c>
      <c r="I60">
        <v>-3.2300000000000002E-2</v>
      </c>
      <c r="J60" s="3">
        <v>5.7008408875378898E-2</v>
      </c>
      <c r="K60" s="3">
        <v>7.2914419219436893E-2</v>
      </c>
      <c r="L60" s="3">
        <v>0.259144811178111</v>
      </c>
      <c r="M60" s="3">
        <v>0.25213176172462498</v>
      </c>
      <c r="N60" s="3">
        <v>0.28219084082597401</v>
      </c>
      <c r="O60" s="3">
        <v>2.0205530624773399E-2</v>
      </c>
      <c r="P60" s="3">
        <v>5.39587725504748E-2</v>
      </c>
      <c r="Q60" s="3">
        <v>2.4454550012261711E-3</v>
      </c>
      <c r="R60" s="5">
        <v>7.9889941187993863E-4</v>
      </c>
      <c r="S60" s="5">
        <v>-1.06923560846961E-4</v>
      </c>
      <c r="T60" s="5">
        <v>6.1922544867500928E-3</v>
      </c>
      <c r="U60" s="5">
        <v>-8.2680560807120163E-3</v>
      </c>
      <c r="V60" s="5">
        <v>-1.1372638944261991E-2</v>
      </c>
      <c r="W60" s="5">
        <v>-1.43211242110397E-3</v>
      </c>
      <c r="X60" s="5">
        <v>-4.9159794396339551E-3</v>
      </c>
      <c r="Y60" s="5">
        <v>0</v>
      </c>
      <c r="Z60" s="5">
        <f t="shared" si="4"/>
        <v>-1.9104556547928864E-2</v>
      </c>
      <c r="AA60" s="6">
        <f t="shared" si="5"/>
        <v>5.0600000207113791E-4</v>
      </c>
    </row>
    <row r="61" spans="1:27" x14ac:dyDescent="0.2">
      <c r="A61" s="1">
        <v>45443</v>
      </c>
      <c r="B61" s="15">
        <v>2.9338391459999998E-2</v>
      </c>
      <c r="C61" s="15">
        <f t="shared" si="3"/>
        <v>2.8713391459999998E-2</v>
      </c>
      <c r="D61">
        <v>4.58E-2</v>
      </c>
      <c r="E61">
        <v>1.67E-2</v>
      </c>
      <c r="F61">
        <v>5.0599999999999999E-2</v>
      </c>
      <c r="G61">
        <v>3.1199999999999999E-2</v>
      </c>
      <c r="H61">
        <v>3.4099999999999998E-2</v>
      </c>
      <c r="I61">
        <v>3.6999999999999998E-2</v>
      </c>
      <c r="J61" s="3">
        <v>0.16481770187525199</v>
      </c>
      <c r="K61" s="3">
        <v>0.103517853979827</v>
      </c>
      <c r="L61" s="3">
        <v>0.24995981406003701</v>
      </c>
      <c r="M61" s="3">
        <v>0.194679970440856</v>
      </c>
      <c r="N61" s="3">
        <v>0.24263511632367099</v>
      </c>
      <c r="O61" s="3">
        <v>6.0546999360539004E-3</v>
      </c>
      <c r="P61" s="3">
        <v>1.8947739465266001E-2</v>
      </c>
      <c r="Q61" s="3">
        <v>1.93871039190372E-2</v>
      </c>
      <c r="R61" s="5">
        <v>1.068956594979964E-3</v>
      </c>
      <c r="S61" s="5">
        <v>2.067826616469981E-3</v>
      </c>
      <c r="T61" s="5">
        <v>4.2312225152900673E-3</v>
      </c>
      <c r="U61" s="5">
        <v>9.7225309989998898E-3</v>
      </c>
      <c r="V61" s="5">
        <v>1.208538285865002E-2</v>
      </c>
      <c r="W61" s="5">
        <v>2.7399602581001942E-4</v>
      </c>
      <c r="X61" s="5">
        <v>9.8052407325011082E-4</v>
      </c>
      <c r="Y61" s="5">
        <v>0</v>
      </c>
      <c r="Z61" s="5">
        <f t="shared" si="4"/>
        <v>3.043043968345005E-2</v>
      </c>
      <c r="AA61" s="6">
        <f t="shared" si="5"/>
        <v>1.0920482234500518E-3</v>
      </c>
    </row>
    <row r="62" spans="1:27" x14ac:dyDescent="0.2">
      <c r="A62" s="1">
        <v>45473</v>
      </c>
      <c r="B62" s="15">
        <v>1.004575947E-2</v>
      </c>
      <c r="C62" s="15">
        <f t="shared" si="3"/>
        <v>9.4207594699999998E-3</v>
      </c>
      <c r="D62">
        <v>2.0400000000000001E-2</v>
      </c>
      <c r="E62">
        <v>8.8000000000000005E-3</v>
      </c>
      <c r="F62">
        <v>3.5299999999999998E-2</v>
      </c>
      <c r="G62">
        <v>1.46E-2</v>
      </c>
      <c r="H62">
        <v>1.5800000000000002E-2</v>
      </c>
      <c r="I62">
        <v>1.6899999999999998E-2</v>
      </c>
      <c r="J62" s="3">
        <v>9.7557642716718504E-2</v>
      </c>
      <c r="K62" s="3">
        <v>0.12441423977095099</v>
      </c>
      <c r="L62" s="3">
        <v>0.20944560048722299</v>
      </c>
      <c r="M62" s="3">
        <v>0.215128541373415</v>
      </c>
      <c r="N62" s="3">
        <v>0.29515807767987901</v>
      </c>
      <c r="O62" s="3">
        <v>5.3143950232508296E-3</v>
      </c>
      <c r="P62" s="3">
        <v>4.3527812775556798E-2</v>
      </c>
      <c r="Q62" s="3">
        <v>9.453690173005902E-3</v>
      </c>
      <c r="R62" s="5">
        <v>-1.0509688631430421E-3</v>
      </c>
      <c r="S62" s="5">
        <v>3.025328773980096E-3</v>
      </c>
      <c r="T62" s="5">
        <v>9.5175213409959269E-5</v>
      </c>
      <c r="U62" s="5">
        <v>-3.9175466188100527E-3</v>
      </c>
      <c r="V62" s="5">
        <v>1.0424057740229919E-2</v>
      </c>
      <c r="W62" s="5">
        <v>1.0926425888002631E-4</v>
      </c>
      <c r="X62" s="5">
        <v>8.8626637745004011E-4</v>
      </c>
      <c r="Y62" s="5">
        <v>0</v>
      </c>
      <c r="Z62" s="5">
        <f t="shared" si="4"/>
        <v>9.571576881996946E-3</v>
      </c>
      <c r="AA62" s="6">
        <f t="shared" si="5"/>
        <v>-4.7418258800305431E-4</v>
      </c>
    </row>
    <row r="63" spans="1:27" x14ac:dyDescent="0.2">
      <c r="A63" s="1">
        <v>45504</v>
      </c>
      <c r="B63" s="15">
        <v>2.418614916E-2</v>
      </c>
      <c r="C63" s="15">
        <f t="shared" si="3"/>
        <v>2.3561149159999999E-2</v>
      </c>
      <c r="D63">
        <v>1.54E-2</v>
      </c>
      <c r="E63">
        <v>2.4199999999999999E-2</v>
      </c>
      <c r="F63">
        <v>1.21E-2</v>
      </c>
      <c r="G63">
        <v>1.9800000000000002E-2</v>
      </c>
      <c r="H63">
        <v>1.89E-2</v>
      </c>
      <c r="I63">
        <v>1.7999999999999999E-2</v>
      </c>
      <c r="J63" s="3">
        <v>5.4855104888892003E-2</v>
      </c>
      <c r="K63" s="3">
        <v>0.16149204711523901</v>
      </c>
      <c r="L63" s="3">
        <v>0.16353500569287399</v>
      </c>
      <c r="M63" s="3">
        <v>0.151576945989606</v>
      </c>
      <c r="N63" s="3">
        <v>0.37525388743261101</v>
      </c>
      <c r="O63" s="3">
        <v>1.7685810697020601E-2</v>
      </c>
      <c r="P63" s="3">
        <v>7.0169680806626195E-2</v>
      </c>
      <c r="Q63" s="3">
        <v>5.431517377131212E-3</v>
      </c>
      <c r="R63" s="5">
        <v>-8.8803471002996126E-4</v>
      </c>
      <c r="S63" s="5">
        <v>1.4269576570100639E-3</v>
      </c>
      <c r="T63" s="5">
        <v>8.7893772250799973E-3</v>
      </c>
      <c r="U63" s="5">
        <v>4.079104052020055E-3</v>
      </c>
      <c r="V63" s="5">
        <v>4.5356193591399308E-3</v>
      </c>
      <c r="W63" s="5">
        <v>8.7135253762005149E-4</v>
      </c>
      <c r="X63" s="5">
        <v>5.5551009042500432E-3</v>
      </c>
      <c r="Y63" s="5">
        <v>0</v>
      </c>
      <c r="Z63" s="5">
        <f t="shared" si="4"/>
        <v>2.436947702509018E-2</v>
      </c>
      <c r="AA63" s="6">
        <f t="shared" si="5"/>
        <v>1.8332786509018054E-4</v>
      </c>
    </row>
    <row r="64" spans="1:27" x14ac:dyDescent="0.2">
      <c r="A64" s="1">
        <v>45535</v>
      </c>
      <c r="B64" s="15">
        <v>2.3761200650000001E-2</v>
      </c>
      <c r="C64" s="15">
        <f t="shared" si="3"/>
        <v>2.3136200650000001E-2</v>
      </c>
      <c r="D64">
        <v>2.5000000000000001E-2</v>
      </c>
      <c r="E64">
        <v>1.46E-2</v>
      </c>
      <c r="F64">
        <v>2.3400000000000001E-2</v>
      </c>
      <c r="G64">
        <v>1.9800000000000002E-2</v>
      </c>
      <c r="H64">
        <v>2.0799999999999999E-2</v>
      </c>
      <c r="I64">
        <v>2.1899999999999999E-2</v>
      </c>
      <c r="J64" s="3">
        <v>6.5183025277732298E-3</v>
      </c>
      <c r="K64" s="3">
        <v>8.1256277099924501E-2</v>
      </c>
      <c r="L64" s="3">
        <v>0.17910682298974001</v>
      </c>
      <c r="M64" s="3">
        <v>0.12254596310858</v>
      </c>
      <c r="N64" s="3">
        <v>0.382104883421168</v>
      </c>
      <c r="O64" s="3">
        <v>6.3131654213346794E-2</v>
      </c>
      <c r="P64" s="3">
        <v>0.16103079192601</v>
      </c>
      <c r="Q64" s="3">
        <v>4.3053047134574696E-3</v>
      </c>
      <c r="R64" s="5">
        <v>-6.7018906571003622E-4</v>
      </c>
      <c r="S64" s="5">
        <v>-4.4974935525099458E-4</v>
      </c>
      <c r="T64" s="5">
        <v>3.809842864249902E-3</v>
      </c>
      <c r="U64" s="5">
        <v>3.3701867317799121E-3</v>
      </c>
      <c r="V64" s="5">
        <v>9.2199589390300485E-3</v>
      </c>
      <c r="W64" s="5">
        <v>9.077336969700589E-4</v>
      </c>
      <c r="X64" s="5">
        <v>7.5522261415299496E-3</v>
      </c>
      <c r="Y64" s="5">
        <v>0</v>
      </c>
      <c r="Z64" s="5">
        <f t="shared" si="4"/>
        <v>2.374000995259884E-2</v>
      </c>
      <c r="AA64" s="6">
        <f t="shared" si="5"/>
        <v>-2.1190697401161918E-5</v>
      </c>
    </row>
    <row r="65" spans="1:27" x14ac:dyDescent="0.2">
      <c r="A65" s="1">
        <v>45565</v>
      </c>
      <c r="B65" s="15">
        <v>2.7318484600000002E-2</v>
      </c>
      <c r="C65" s="15">
        <f t="shared" si="3"/>
        <v>2.6693484600000001E-2</v>
      </c>
      <c r="D65">
        <v>2.1999999999999999E-2</v>
      </c>
      <c r="E65">
        <v>1.3299999999999999E-2</v>
      </c>
      <c r="F65">
        <v>2.1000000000000001E-2</v>
      </c>
      <c r="G65">
        <v>1.7600000000000001E-2</v>
      </c>
      <c r="H65">
        <v>1.8499999999999999E-2</v>
      </c>
      <c r="I65">
        <v>1.9400000000000001E-2</v>
      </c>
      <c r="J65" s="3">
        <v>2.5491524477426002E-3</v>
      </c>
      <c r="K65" s="3">
        <v>4.4851921682659703E-2</v>
      </c>
      <c r="L65" s="3">
        <v>0.23264224657743801</v>
      </c>
      <c r="M65" s="3">
        <v>0.105372317427297</v>
      </c>
      <c r="N65" s="3">
        <v>0.24173130502166801</v>
      </c>
      <c r="O65" s="3">
        <v>0.104466516512268</v>
      </c>
      <c r="P65" s="3">
        <v>0.26684058845222802</v>
      </c>
      <c r="Q65" s="3">
        <v>1.545951878698659E-3</v>
      </c>
      <c r="R65" s="5">
        <v>-5.560867883103171E-5</v>
      </c>
      <c r="S65" s="5">
        <v>1.8379084581499059E-3</v>
      </c>
      <c r="T65" s="5">
        <v>1.2002485178360001E-2</v>
      </c>
      <c r="U65" s="5">
        <v>4.7169201104990682E-4</v>
      </c>
      <c r="V65" s="5">
        <v>2.1451768365299269E-3</v>
      </c>
      <c r="W65" s="5">
        <v>1.452379590030084E-3</v>
      </c>
      <c r="X65" s="5">
        <v>8.1908327027200301E-3</v>
      </c>
      <c r="Y65" s="5">
        <v>0</v>
      </c>
      <c r="Z65" s="5">
        <f t="shared" si="4"/>
        <v>2.6044866098008823E-2</v>
      </c>
      <c r="AA65" s="6">
        <f t="shared" si="5"/>
        <v>-1.2736185019911785E-3</v>
      </c>
    </row>
    <row r="66" spans="1:27" x14ac:dyDescent="0.2">
      <c r="A66" s="1">
        <v>45596</v>
      </c>
      <c r="B66" s="15">
        <v>-1.199114624E-2</v>
      </c>
      <c r="C66" s="15">
        <f t="shared" si="3"/>
        <v>-1.2616146240000001E-2</v>
      </c>
      <c r="D66">
        <v>-2.0899999999999998E-2</v>
      </c>
      <c r="E66">
        <v>-2.52E-2</v>
      </c>
      <c r="F66">
        <v>-8.8999999999999999E-3</v>
      </c>
      <c r="G66">
        <v>-2.3099999999999999E-2</v>
      </c>
      <c r="H66">
        <v>-2.2599999999999999E-2</v>
      </c>
      <c r="I66">
        <v>-2.2200000000000001E-2</v>
      </c>
      <c r="J66" s="3">
        <v>0</v>
      </c>
      <c r="K66" s="3">
        <v>6.3665952237326101E-2</v>
      </c>
      <c r="L66" s="3">
        <v>0.29528271818210999</v>
      </c>
      <c r="M66" s="3">
        <v>5.0511971908326098E-2</v>
      </c>
      <c r="N66" s="3">
        <v>0.162534940514308</v>
      </c>
      <c r="O66" s="3">
        <v>0.137126808923731</v>
      </c>
      <c r="P66" s="3">
        <v>0.290877608234197</v>
      </c>
      <c r="Q66" s="3">
        <v>1.7763568394002501E-15</v>
      </c>
      <c r="R66" s="5">
        <v>4.420480494005119E-5</v>
      </c>
      <c r="S66" s="5">
        <v>-2.0828266346070161E-3</v>
      </c>
      <c r="T66" s="5">
        <v>1.20641703695199E-2</v>
      </c>
      <c r="U66" s="5">
        <v>-3.0711347838200398E-3</v>
      </c>
      <c r="V66" s="5">
        <v>-2.117286244085026E-3</v>
      </c>
      <c r="W66" s="5">
        <v>-7.6743722461419814E-3</v>
      </c>
      <c r="X66" s="5">
        <v>-9.9803359051540141E-3</v>
      </c>
      <c r="Y66" s="5">
        <v>0</v>
      </c>
      <c r="Z66" s="5">
        <f t="shared" si="4"/>
        <v>-1.2817580639348125E-2</v>
      </c>
      <c r="AA66" s="6">
        <f t="shared" si="5"/>
        <v>-8.264343993481249E-4</v>
      </c>
    </row>
    <row r="67" spans="1:27" x14ac:dyDescent="0.2">
      <c r="A67" s="1">
        <v>45626</v>
      </c>
      <c r="B67" s="15">
        <v>5.9124442499999992E-3</v>
      </c>
      <c r="C67" s="15">
        <f t="shared" ref="C67:C98" si="6">+B67-($E$1/12)</f>
        <v>5.2874442499999995E-3</v>
      </c>
      <c r="D67">
        <v>4.0300000000000002E-2</v>
      </c>
      <c r="E67">
        <v>1.11E-2</v>
      </c>
      <c r="F67">
        <v>5.96E-2</v>
      </c>
      <c r="G67">
        <v>2.5700000000000001E-2</v>
      </c>
      <c r="H67">
        <v>2.86E-2</v>
      </c>
      <c r="I67">
        <v>3.1600000000000003E-2</v>
      </c>
      <c r="J67" s="3">
        <v>2.6538706876950601E-2</v>
      </c>
      <c r="K67" s="3">
        <v>8.93251242765674E-2</v>
      </c>
      <c r="L67" s="3">
        <v>0.37043381955642801</v>
      </c>
      <c r="M67" s="3">
        <v>2.68570297225235E-2</v>
      </c>
      <c r="N67" s="3">
        <v>0.17264598816493501</v>
      </c>
      <c r="O67" s="3">
        <v>4.8026545188936502E-2</v>
      </c>
      <c r="P67" s="3">
        <v>0.23355502223510799</v>
      </c>
      <c r="Q67" s="3">
        <v>3.2617763978550977E-2</v>
      </c>
      <c r="R67" s="5">
        <v>-2.2359863327603419E-4</v>
      </c>
      <c r="S67" s="5">
        <v>-2.3737774026499898E-3</v>
      </c>
      <c r="T67" s="5">
        <v>-1.1083023792234029E-2</v>
      </c>
      <c r="U67" s="5">
        <v>-3.7128239927963769E-5</v>
      </c>
      <c r="V67" s="5">
        <v>1.0139879229170029E-2</v>
      </c>
      <c r="W67" s="5">
        <v>-1.8928348629099201E-4</v>
      </c>
      <c r="X67" s="5">
        <v>9.0936156955299108E-3</v>
      </c>
      <c r="Y67" s="5">
        <v>0</v>
      </c>
      <c r="Z67" s="5">
        <f t="shared" ref="Z67:Z98" si="7">+SUM(R67:Y67)</f>
        <v>5.3266833703209306E-3</v>
      </c>
      <c r="AA67" s="6">
        <f t="shared" ref="AA67:AA98" si="8">+Z67-B67</f>
        <v>-5.8576087967906858E-4</v>
      </c>
    </row>
    <row r="68" spans="1:27" x14ac:dyDescent="0.2">
      <c r="A68" s="1">
        <v>45657</v>
      </c>
      <c r="B68" s="15">
        <v>-3.8146484330000001E-2</v>
      </c>
      <c r="C68" s="15">
        <f t="shared" si="6"/>
        <v>-3.8771484330000001E-2</v>
      </c>
      <c r="D68">
        <v>-2.6499999999999999E-2</v>
      </c>
      <c r="E68">
        <v>-1.6899999999999998E-2</v>
      </c>
      <c r="F68">
        <v>-2.41E-2</v>
      </c>
      <c r="G68">
        <v>-2.1700000000000001E-2</v>
      </c>
      <c r="H68">
        <v>-2.2700000000000001E-2</v>
      </c>
      <c r="I68">
        <v>-2.3699999999999999E-2</v>
      </c>
      <c r="J68" s="3">
        <v>1.2244219964747101E-2</v>
      </c>
      <c r="K68" s="3">
        <v>4.6093867450555402E-2</v>
      </c>
      <c r="L68" s="3">
        <v>0.200534867946944</v>
      </c>
      <c r="M68" s="3">
        <v>2.7813952229652501E-2</v>
      </c>
      <c r="N68" s="3">
        <v>0.38093881488521297</v>
      </c>
      <c r="O68" s="3">
        <v>7.7444920440927101E-2</v>
      </c>
      <c r="P68" s="3">
        <v>0.21876978019962601</v>
      </c>
      <c r="Q68" s="3">
        <v>3.6159576882334843E-2</v>
      </c>
      <c r="R68" s="5">
        <v>1.2291809606002069E-4</v>
      </c>
      <c r="S68" s="5">
        <v>-6.3416339027499991E-4</v>
      </c>
      <c r="T68" s="5">
        <v>-4.163236547685023E-3</v>
      </c>
      <c r="U68" s="5">
        <v>-8.3085804371196836E-4</v>
      </c>
      <c r="V68" s="5">
        <v>-9.5643707312990101E-3</v>
      </c>
      <c r="W68" s="5">
        <v>-5.0433859439219519E-3</v>
      </c>
      <c r="X68" s="5">
        <v>-1.855911311664105E-2</v>
      </c>
      <c r="Y68" s="5">
        <v>0</v>
      </c>
      <c r="Z68" s="5">
        <f t="shared" si="7"/>
        <v>-3.8672209677473979E-2</v>
      </c>
      <c r="AA68" s="6">
        <f t="shared" si="8"/>
        <v>-5.2572534747397787E-4</v>
      </c>
    </row>
    <row r="69" spans="1:27" x14ac:dyDescent="0.2">
      <c r="A69" s="1">
        <v>45688</v>
      </c>
      <c r="B69" s="15">
        <v>2.9250846390000002E-2</v>
      </c>
      <c r="C69" s="15">
        <f t="shared" si="6"/>
        <v>2.8625846390000001E-2</v>
      </c>
      <c r="D69" s="14">
        <v>3.1399999999999997E-2</v>
      </c>
      <c r="E69" s="14">
        <v>5.1999999999999998E-3</v>
      </c>
      <c r="F69">
        <v>2.69E-2</v>
      </c>
      <c r="G69">
        <v>1.83E-2</v>
      </c>
      <c r="H69">
        <v>2.0899999999999998E-2</v>
      </c>
      <c r="I69">
        <v>2.35E-2</v>
      </c>
      <c r="J69" s="3">
        <v>6.9489134662695004E-2</v>
      </c>
      <c r="K69" s="3">
        <v>8.3749459156704606E-2</v>
      </c>
      <c r="L69" s="3">
        <v>0.213883766077201</v>
      </c>
      <c r="M69" s="3">
        <v>3.5591476448886002E-2</v>
      </c>
      <c r="N69" s="3">
        <v>0.35997920954706703</v>
      </c>
      <c r="O69" s="3">
        <v>1.6334897560599401E-2</v>
      </c>
      <c r="P69" s="3">
        <v>9.8333069486362196E-2</v>
      </c>
      <c r="Q69" s="3">
        <v>0.1226389870604848</v>
      </c>
      <c r="R69" s="5">
        <v>1.395901922160103E-3</v>
      </c>
      <c r="S69" s="5">
        <v>1.846480330019995E-3</v>
      </c>
      <c r="T69" s="5">
        <v>1.414381480904003E-2</v>
      </c>
      <c r="U69" s="5">
        <v>1.7168920410499671E-3</v>
      </c>
      <c r="V69" s="5">
        <v>9.5946288093200494E-3</v>
      </c>
      <c r="W69" s="5">
        <v>2.398490329800218E-4</v>
      </c>
      <c r="X69" s="5">
        <v>9.2608999318999352E-4</v>
      </c>
      <c r="Y69" s="5">
        <v>0</v>
      </c>
      <c r="Z69" s="5">
        <f t="shared" si="7"/>
        <v>2.986365693776016E-2</v>
      </c>
      <c r="AA69" s="6">
        <f t="shared" si="8"/>
        <v>6.128105477601585E-4</v>
      </c>
    </row>
    <row r="70" spans="1:27" x14ac:dyDescent="0.2">
      <c r="A70" s="1">
        <v>45716</v>
      </c>
      <c r="B70" s="15">
        <v>4.4682019600000003E-3</v>
      </c>
      <c r="C70" s="15">
        <f t="shared" si="6"/>
        <v>3.8432019600000001E-3</v>
      </c>
      <c r="D70" s="14">
        <v>-3.0000000000000001E-3</v>
      </c>
      <c r="E70" s="14">
        <v>2.24E-2</v>
      </c>
      <c r="F70">
        <v>-1.2699999999999999E-2</v>
      </c>
      <c r="G70">
        <v>9.7000000000000003E-3</v>
      </c>
      <c r="H70">
        <v>7.1999999999999998E-3</v>
      </c>
      <c r="I70">
        <v>4.5999999999999999E-3</v>
      </c>
      <c r="J70" s="3">
        <v>0.131237448340768</v>
      </c>
      <c r="K70" s="3">
        <v>6.4678258588434304E-2</v>
      </c>
      <c r="L70" s="3">
        <v>0.23542841910135201</v>
      </c>
      <c r="M70" s="3">
        <v>0.10891034592002601</v>
      </c>
      <c r="N70" s="3">
        <v>0.31554084970434099</v>
      </c>
      <c r="O70" s="3">
        <v>4.2808000621301998E-3</v>
      </c>
      <c r="P70" s="3">
        <v>7.1374518854448801E-2</v>
      </c>
      <c r="Q70" s="3">
        <v>6.8549359428499823E-2</v>
      </c>
      <c r="R70" s="5">
        <v>-2.7876774076796012E-4</v>
      </c>
      <c r="S70" s="5">
        <v>6.0330903063010588E-4</v>
      </c>
      <c r="T70" s="5">
        <v>4.1858986866600834E-3</v>
      </c>
      <c r="U70" s="5">
        <v>4.0922407064400979E-3</v>
      </c>
      <c r="V70" s="5">
        <v>-4.1227436178380428E-3</v>
      </c>
      <c r="W70" s="5">
        <v>3.3331755079002429E-4</v>
      </c>
      <c r="X70" s="5">
        <v>2.5919684572099921E-3</v>
      </c>
      <c r="Y70" s="5">
        <v>0</v>
      </c>
      <c r="Z70" s="5">
        <f t="shared" si="7"/>
        <v>7.4052230731243007E-3</v>
      </c>
      <c r="AA70" s="6">
        <f t="shared" si="8"/>
        <v>2.9370211131243005E-3</v>
      </c>
    </row>
    <row r="71" spans="1:27" x14ac:dyDescent="0.2">
      <c r="A71" s="1">
        <v>45747</v>
      </c>
      <c r="B71" s="15">
        <v>1.214819508E-2</v>
      </c>
      <c r="C71" s="15">
        <f t="shared" si="6"/>
        <v>1.152319508E-2</v>
      </c>
      <c r="D71" s="14">
        <v>-3.6700000000000003E-2</v>
      </c>
      <c r="E71" s="14">
        <v>-2.9999999999999997E-4</v>
      </c>
      <c r="F71">
        <v>-5.57E-2</v>
      </c>
      <c r="G71">
        <v>-1.8499999999999999E-2</v>
      </c>
      <c r="H71">
        <v>-2.2200000000000001E-2</v>
      </c>
      <c r="I71">
        <v>-2.58E-2</v>
      </c>
      <c r="J71" s="3">
        <v>8.27835595561114E-2</v>
      </c>
      <c r="K71" s="3">
        <v>6.6007586724185399E-2</v>
      </c>
      <c r="L71" s="3">
        <v>0.29947072972798999</v>
      </c>
      <c r="M71" s="3">
        <v>0.15963862990487401</v>
      </c>
      <c r="N71" s="3">
        <v>0.193931943742152</v>
      </c>
      <c r="O71" s="3">
        <v>8.2623070281955799E-2</v>
      </c>
      <c r="P71" s="3">
        <v>0.11554448006272899</v>
      </c>
      <c r="Q71" s="3">
        <v>2.3314683517128291E-15</v>
      </c>
      <c r="R71" s="5">
        <v>1.6046432040599521E-3</v>
      </c>
      <c r="S71" s="5">
        <v>8.2054265837006035E-4</v>
      </c>
      <c r="T71" s="5">
        <v>2.7475462087839912E-2</v>
      </c>
      <c r="U71" s="5">
        <v>-1.26704259644006E-4</v>
      </c>
      <c r="V71" s="5">
        <v>-1.2892806787039969E-2</v>
      </c>
      <c r="W71" s="5">
        <v>-1.371654258503052E-3</v>
      </c>
      <c r="X71" s="5">
        <v>-2.8915784745859869E-3</v>
      </c>
      <c r="Y71" s="5">
        <v>0</v>
      </c>
      <c r="Z71" s="5">
        <f t="shared" si="7"/>
        <v>1.2617904170496907E-2</v>
      </c>
      <c r="AA71" s="6">
        <f t="shared" si="8"/>
        <v>4.6970909049690729E-4</v>
      </c>
    </row>
    <row r="72" spans="1:27" x14ac:dyDescent="0.2">
      <c r="A72" s="1">
        <v>45777</v>
      </c>
      <c r="B72" s="15">
        <v>3.5106032799999999E-3</v>
      </c>
      <c r="C72" s="15">
        <f t="shared" si="6"/>
        <v>2.8856032799999998E-3</v>
      </c>
      <c r="D72" s="14">
        <v>5.1999999999999998E-3</v>
      </c>
      <c r="E72" s="14">
        <v>4.3E-3</v>
      </c>
      <c r="F72">
        <v>-8.6999999999999994E-3</v>
      </c>
      <c r="G72">
        <v>4.7000000000000002E-3</v>
      </c>
      <c r="H72">
        <v>4.7999999999999996E-3</v>
      </c>
      <c r="I72">
        <v>4.8999999999999998E-3</v>
      </c>
      <c r="J72" s="3">
        <v>0.18236241277425799</v>
      </c>
      <c r="K72" s="3">
        <v>8.0074039382723394E-2</v>
      </c>
      <c r="L72" s="3">
        <v>0.31274020160988403</v>
      </c>
      <c r="M72" s="3">
        <v>0.14223752745162499</v>
      </c>
      <c r="N72" s="3">
        <v>4.2091850492811098E-2</v>
      </c>
      <c r="O72" s="3">
        <v>9.1128662920763506E-2</v>
      </c>
      <c r="P72" s="3">
        <v>7.8706280606011703E-2</v>
      </c>
      <c r="Q72" s="3">
        <v>7.0659024761923317E-2</v>
      </c>
      <c r="R72" s="5">
        <v>-1.553587551362001E-2</v>
      </c>
      <c r="S72" s="5">
        <v>1.9888125996003761E-4</v>
      </c>
      <c r="T72" s="5">
        <v>1.8186977524399909E-2</v>
      </c>
      <c r="U72" s="5">
        <v>5.7115319135299103E-3</v>
      </c>
      <c r="V72" s="5">
        <v>2.0413207151004359E-4</v>
      </c>
      <c r="W72" s="5">
        <v>-1.5970031139019849E-3</v>
      </c>
      <c r="X72" s="5">
        <v>-1.6364729057010139E-3</v>
      </c>
      <c r="Y72" s="5">
        <v>0</v>
      </c>
      <c r="Z72" s="5">
        <f t="shared" si="7"/>
        <v>5.5321712361768912E-3</v>
      </c>
      <c r="AA72" s="6">
        <f t="shared" si="8"/>
        <v>2.0215679561768913E-3</v>
      </c>
    </row>
    <row r="73" spans="1:27" x14ac:dyDescent="0.2">
      <c r="A73" s="1">
        <v>45808</v>
      </c>
      <c r="B73" s="15">
        <v>1.4901376060000001E-2</v>
      </c>
      <c r="C73" s="15">
        <f t="shared" si="6"/>
        <v>1.427637606E-2</v>
      </c>
      <c r="D73" s="14">
        <v>5.6899999999999999E-2</v>
      </c>
      <c r="E73" s="14">
        <v>-6.1000000000000004E-3</v>
      </c>
      <c r="F73">
        <v>6.2799999999999995E-2</v>
      </c>
      <c r="G73">
        <v>2.5399999999999999E-2</v>
      </c>
      <c r="H73">
        <v>3.1699999999999999E-2</v>
      </c>
      <c r="I73">
        <v>3.7999999999999999E-2</v>
      </c>
      <c r="J73" s="3">
        <v>2.6972350665935601E-2</v>
      </c>
      <c r="K73" s="3">
        <v>7.8424582474742696E-2</v>
      </c>
      <c r="L73" s="3">
        <v>0.420623005337532</v>
      </c>
      <c r="M73" s="3">
        <v>0.16934848699055699</v>
      </c>
      <c r="N73" s="3">
        <v>3.0903546710820198E-2</v>
      </c>
      <c r="O73" s="3">
        <v>0.104132535182671</v>
      </c>
      <c r="P73" s="3">
        <v>6.3083822677495294E-2</v>
      </c>
      <c r="Q73" s="3">
        <v>0.10651166996024621</v>
      </c>
      <c r="R73" s="5">
        <v>1.082976635990107E-3</v>
      </c>
      <c r="S73" s="5">
        <v>3.1766679524600772E-3</v>
      </c>
      <c r="T73" s="5">
        <v>1.661397033269951E-3</v>
      </c>
      <c r="U73" s="5">
        <v>8.2006518549699869E-3</v>
      </c>
      <c r="V73" s="5">
        <v>1.9837978760399722E-3</v>
      </c>
      <c r="W73" s="5">
        <v>-3.2591459654429671E-3</v>
      </c>
      <c r="X73" s="5">
        <v>6.2576205151998465E-4</v>
      </c>
      <c r="Y73" s="5">
        <v>0</v>
      </c>
      <c r="Z73" s="5">
        <f t="shared" si="7"/>
        <v>1.3472107438807113E-2</v>
      </c>
      <c r="AA73" s="6">
        <f t="shared" si="8"/>
        <v>-1.429268621192888E-3</v>
      </c>
    </row>
    <row r="74" spans="1:27" x14ac:dyDescent="0.2">
      <c r="A74" s="1">
        <v>45838</v>
      </c>
      <c r="B74" s="15">
        <v>2.1370739159999999E-2</v>
      </c>
      <c r="C74" s="15">
        <f t="shared" si="6"/>
        <v>2.0745739159999999E-2</v>
      </c>
      <c r="D74" s="14">
        <v>4.8000000000000001E-2</v>
      </c>
      <c r="E74" s="14">
        <v>1.46E-2</v>
      </c>
      <c r="F74">
        <v>5.1400000000000001E-2</v>
      </c>
      <c r="G74">
        <v>3.1300000000000001E-2</v>
      </c>
      <c r="H74">
        <v>3.4599999999999999E-2</v>
      </c>
      <c r="I74">
        <v>3.7999999999999999E-2</v>
      </c>
      <c r="J74" s="3">
        <v>3.4313434444671297E-2</v>
      </c>
      <c r="K74" s="3">
        <v>0.102676418951072</v>
      </c>
      <c r="L74" s="3">
        <v>0.391826541011634</v>
      </c>
      <c r="M74" s="3">
        <v>0.21157223459759</v>
      </c>
      <c r="N74" s="3">
        <v>9.7864762506299594E-2</v>
      </c>
      <c r="O74" s="3">
        <v>3.6253906659602202E-2</v>
      </c>
      <c r="P74" s="3">
        <v>6.9755011947217296E-2</v>
      </c>
      <c r="Q74" s="3">
        <v>5.5737689881913632E-2</v>
      </c>
      <c r="R74" s="3">
        <v>1.335024598219992E-3</v>
      </c>
      <c r="S74" s="3">
        <v>7.0058606771599141E-3</v>
      </c>
      <c r="T74" s="3">
        <v>2.4737732619699582E-3</v>
      </c>
      <c r="U74" s="3">
        <v>4.6518359403899812E-3</v>
      </c>
      <c r="V74" s="3">
        <v>4.6386549242800603E-3</v>
      </c>
      <c r="W74" s="3">
        <v>3.9387299675008869E-4</v>
      </c>
      <c r="X74" s="3">
        <v>5.4211810290993867E-4</v>
      </c>
      <c r="Y74" s="3">
        <v>0</v>
      </c>
      <c r="Z74" s="5">
        <f t="shared" si="7"/>
        <v>2.1041140501679934E-2</v>
      </c>
      <c r="AA74" s="6">
        <f t="shared" si="8"/>
        <v>-3.2959865832006552E-4</v>
      </c>
    </row>
    <row r="75" spans="1:27" x14ac:dyDescent="0.2">
      <c r="A75" s="1">
        <v>45869</v>
      </c>
      <c r="B75" s="16">
        <v>2.22146776E-3</v>
      </c>
      <c r="C75" s="15">
        <f t="shared" si="6"/>
        <v>1.5964677599999999E-3</v>
      </c>
      <c r="D75" s="14">
        <v>1.06E-2</v>
      </c>
      <c r="E75" s="14">
        <v>-2.5999999999999999E-3</v>
      </c>
      <c r="F75">
        <v>2.3E-2</v>
      </c>
      <c r="G75">
        <v>4.0000000000000001E-3</v>
      </c>
      <c r="H75">
        <v>5.3E-3</v>
      </c>
      <c r="I75">
        <v>6.6E-3</v>
      </c>
      <c r="J75" s="3">
        <v>8.7481872466025901E-2</v>
      </c>
      <c r="K75" s="3">
        <v>0.176816049941875</v>
      </c>
      <c r="L75" s="3">
        <v>0.30142142378057601</v>
      </c>
      <c r="M75" s="3">
        <v>0.20573150798103801</v>
      </c>
      <c r="N75" s="3">
        <v>0.122680174306962</v>
      </c>
      <c r="O75" s="3">
        <v>3.70425073375307E-2</v>
      </c>
      <c r="P75" s="3">
        <v>4.0850919784575702E-2</v>
      </c>
      <c r="Q75" s="3">
        <v>2.7975544401416801E-2</v>
      </c>
      <c r="R75" s="3">
        <v>2.26577179149001E-3</v>
      </c>
      <c r="S75" s="3">
        <v>1.0565125613499801E-3</v>
      </c>
      <c r="T75" s="3">
        <v>-1.01065714856996E-3</v>
      </c>
      <c r="U75" s="3">
        <v>-4.330615035258E-3</v>
      </c>
      <c r="V75" s="3">
        <v>2.8102486434200499E-3</v>
      </c>
      <c r="W75" s="3">
        <v>-4.1763235701697298E-4</v>
      </c>
      <c r="X75" s="3">
        <v>2.5421066545994197E-4</v>
      </c>
      <c r="Y75" s="3">
        <v>0</v>
      </c>
      <c r="Z75" s="17">
        <f t="shared" si="7"/>
        <v>6.2783912087504873E-4</v>
      </c>
      <c r="AA75" s="17">
        <f t="shared" si="8"/>
        <v>-1.5936286391249512E-3</v>
      </c>
    </row>
    <row r="76" spans="1:27" x14ac:dyDescent="0.2">
      <c r="A76" s="1">
        <v>45900</v>
      </c>
      <c r="B76" s="5">
        <v>3.5508889809999999E-2</v>
      </c>
      <c r="C76" s="18">
        <f t="shared" si="6"/>
        <v>3.4883889809999999E-2</v>
      </c>
      <c r="D76">
        <v>2.6800000000000001E-2</v>
      </c>
      <c r="E76">
        <v>1.1900000000000001E-2</v>
      </c>
      <c r="F76">
        <v>2.0500000000000001E-2</v>
      </c>
      <c r="G76">
        <v>1.9300000000000001E-2</v>
      </c>
      <c r="H76">
        <v>2.0799999999999999E-2</v>
      </c>
      <c r="I76">
        <v>2.23E-2</v>
      </c>
      <c r="J76" s="3">
        <v>0.105548777777676</v>
      </c>
      <c r="K76" s="3">
        <v>0.20746878264291399</v>
      </c>
      <c r="L76" s="3">
        <v>0.137282827064789</v>
      </c>
      <c r="M76" s="3">
        <v>0.22249112610855101</v>
      </c>
      <c r="N76" s="3">
        <v>0.24738371173062901</v>
      </c>
      <c r="O76" s="3">
        <v>2.1829444593470599E-2</v>
      </c>
      <c r="P76" s="3">
        <v>3.7375074075060702E-2</v>
      </c>
      <c r="Q76" s="3">
        <v>2.0620256006909799E-2</v>
      </c>
      <c r="R76" s="3">
        <v>-9.1406727773801798E-4</v>
      </c>
      <c r="S76" s="3">
        <v>5.8119275665899899E-3</v>
      </c>
      <c r="T76" s="3">
        <v>9.9644617110099497E-3</v>
      </c>
      <c r="U76" s="3">
        <v>1.01236624561101E-2</v>
      </c>
      <c r="V76" s="3">
        <v>7.1509198537300601E-3</v>
      </c>
      <c r="W76" s="3">
        <v>2.2626341807008301E-4</v>
      </c>
      <c r="X76" s="3">
        <v>1.0652174515399799E-3</v>
      </c>
      <c r="Y76" s="3">
        <v>0</v>
      </c>
      <c r="Z76" s="17">
        <f t="shared" si="7"/>
        <v>3.3428385179312139E-2</v>
      </c>
      <c r="AA76" s="17">
        <f t="shared" si="8"/>
        <v>-2.08050463068786E-3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Holpe</dc:creator>
  <cp:lastModifiedBy>Microsoft Office User</cp:lastModifiedBy>
  <dcterms:created xsi:type="dcterms:W3CDTF">2025-09-03T14:34:36Z</dcterms:created>
  <dcterms:modified xsi:type="dcterms:W3CDTF">2025-10-08T20:20:32Z</dcterms:modified>
</cp:coreProperties>
</file>